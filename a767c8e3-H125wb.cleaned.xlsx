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 userName="u040373839" algorithmName="SHA-512" hashValue="Cz+6Kf/Ahnwmp+41bUWpRNlxreuuC4h/AuvlnCutklOvBLFE7Ux8KSze//ZcVx0QgpwT1JnLhskRRCBL8dQJEQ==" saltValue="cYYWTlTUsXnshj5psfs1hQ==" spinCount="10000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prfs13\agam\Avirit\DB\weight&amp;balance\"/>
    </mc:Choice>
  </mc:AlternateContent>
  <bookViews>
    <workbookView xWindow="-120" yWindow="-120" windowWidth="29040" windowHeight="15840" activeTab="0"/>
  </bookViews>
  <sheets>
    <sheet name="ראשי" sheetId="2" r:id="rId3"/>
    <sheet name="נתונים" sheetId="1" r:id="rId4"/>
    <sheet name="תצורות" sheetId="7" r:id="rId5"/>
    <sheet name="ברזל" sheetId="4" r:id="rId6"/>
    <sheet name="משקל מערכות" sheetId="6" r:id="rId7"/>
    <sheet name="מה&quot;ק" sheetId="8" r:id="rId8"/>
    <sheet name="גרסאות" sheetId="9" r:id="rId9"/>
  </sheets>
  <definedNames>
    <definedName name="calcMETHOD">ראשי!$C$40</definedName>
    <definedName name="inputFUEL">ראשי!$F$48</definedName>
    <definedName name="InternalWeight">נתונים!$S$17</definedName>
    <definedName name="maxallowFUEL">נתונים!$S$12</definedName>
    <definedName name="maxallowFUEL2250">נתונים!$S$15</definedName>
    <definedName name="MAXGROSS">ברזל!$I$35</definedName>
    <definedName name="maxPWRspare">ראשי!$L$38</definedName>
    <definedName name="OGE">'מה"ק'!$G$17</definedName>
    <definedName name="ogeCALC">נתונים!$AK$3</definedName>
    <definedName name="OGEtable">'מה"ק'!$F$5:$L$13</definedName>
    <definedName name="regCALC">נתונים!$AK$2</definedName>
    <definedName name="takeoffWT">נתונים!$S$5</definedName>
    <definedName name="takoffweight">ראשי!$F$49</definedName>
    <definedName name="userBAMBI">ראשי!$D$19</definedName>
    <definedName name="userBASKET">ראשי!$D$15</definedName>
    <definedName name="userBASKETkg">ראשי!$H$15</definedName>
    <definedName name="userCARGO">ראשי!$D$17</definedName>
    <definedName name="userCARGOkg">ראשי!$H$17</definedName>
    <definedName name="userCHAIRS">ראשי!$D$21</definedName>
    <definedName name="userCONFIG">ראשי!$D$9</definedName>
    <definedName name="userFLIR">ראשי!$D$11</definedName>
    <definedName name="userWATERkg">ראשי!$D$47</definedName>
    <definedName name="userXP">ראשי!$D$13</definedName>
    <definedName name="WeightOnCable">'מה"ק'!$I$21</definedName>
    <definedName name="wtWITHOUTFuel">נתונים!$C$49:$H$52</definedName>
    <definedName name="zerofuelWT">נתונים!$S$4</definedName>
    <definedName name="דלק">נתונים!$AH$2:$AH$76</definedName>
    <definedName name="מרכז_כובד_אורכי">נתונים!$W$9:$X$13</definedName>
    <definedName name="מרכז_כובד_רוחבי">נתונים!$Z$9:$AA$18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</calcChain>
</file>

<file path=xl/sharedStrings.xml><?xml version="1.0" encoding="utf-8"?>
<sst xmlns="http://schemas.openxmlformats.org/spreadsheetml/2006/main" count="351" uniqueCount="197">
  <si>
    <t>משקל</t>
  </si>
  <si>
    <t>מומנט</t>
  </si>
  <si>
    <t>ציוד</t>
  </si>
  <si>
    <t>מומנט אורכי</t>
  </si>
  <si>
    <t>מומנט רוחבי</t>
  </si>
  <si>
    <t>EMPTY WEIGHT</t>
  </si>
  <si>
    <t>מסוק</t>
  </si>
  <si>
    <t>CREW</t>
  </si>
  <si>
    <t>טייס ימין</t>
  </si>
  <si>
    <t>טייס שמאל</t>
  </si>
  <si>
    <t>משקל ללא דלק</t>
  </si>
  <si>
    <t>LONG ARM</t>
  </si>
  <si>
    <t>LAT ARM</t>
  </si>
  <si>
    <t>MASS</t>
  </si>
  <si>
    <t>ACTUAL FUEL TABLE</t>
  </si>
  <si>
    <t>תאריך</t>
  </si>
  <si>
    <t>שקילה</t>
  </si>
  <si>
    <t xml:space="preserve"> Aircraft weighed full of Oils, empty of Fuel, 3 Flight Manuals, Pilots Blue Flight Log, Dual Flight Controls, Cargo Hook Removed,  </t>
  </si>
  <si>
    <t xml:space="preserve">2 Mid Fwd Club Passenger Seats, 3 Aft Fwd Club Passenger Seats,  Traffic Flight Officer Station (Stowed),  Controp DSP-HD Camera,  </t>
  </si>
  <si>
    <t xml:space="preserve">Nightsun XP Search Light, Controp and Nightsun Hand Controller, PA Speakers, LH &amp; RH Skid deflectors removed.  </t>
  </si>
  <si>
    <r>
      <t xml:space="preserve">No Headsets, No ICS Patch cords, No Fly Away Gear or Loose Equipment installed at this time.  </t>
    </r>
    <r>
      <rPr>
        <b/>
        <sz val="8"/>
        <rFont val="Arial"/>
        <family val="2"/>
      </rPr>
      <t xml:space="preserve">See equipment list section of Flight </t>
    </r>
  </si>
  <si>
    <t>KG</t>
  </si>
  <si>
    <t>תאור</t>
  </si>
  <si>
    <t>Traffic Flight Officer Station (Stowed)</t>
  </si>
  <si>
    <t>Controp DSP-HD Camera</t>
  </si>
  <si>
    <t xml:space="preserve">CONTROP IMAGER SHAPO     </t>
  </si>
  <si>
    <t>Controp Hand Controller</t>
  </si>
  <si>
    <t>Nightsun XP Search Light</t>
  </si>
  <si>
    <t>Nightsun Hand Controller</t>
  </si>
  <si>
    <t>PA Speakers</t>
  </si>
  <si>
    <t>CARGO HOOK DOUBLE DET PROVISIONS</t>
  </si>
  <si>
    <t>CARGO HOOK MIRROR DETACHABLE PARTS</t>
  </si>
  <si>
    <t>Description</t>
  </si>
  <si>
    <t>תצורת כסאות</t>
  </si>
  <si>
    <t>מערכת</t>
  </si>
  <si>
    <t>זרקור</t>
  </si>
  <si>
    <t>PASSENGERS</t>
  </si>
  <si>
    <t>הפחתת ציוד</t>
  </si>
  <si>
    <t>SEAT CONFIGURATION</t>
  </si>
  <si>
    <t>REMOVABLE EQUIPMENT</t>
  </si>
  <si>
    <t>LONG CG ENV</t>
  </si>
  <si>
    <t>LAT CG ENV</t>
  </si>
  <si>
    <t>WEIGHT WITHOUT FUEL</t>
  </si>
  <si>
    <t>כמות</t>
  </si>
  <si>
    <t>ללא</t>
  </si>
  <si>
    <t>SHAPO</t>
  </si>
  <si>
    <t>DSP</t>
  </si>
  <si>
    <t>לא</t>
  </si>
  <si>
    <t>כן</t>
  </si>
  <si>
    <t>זיהוי כסא</t>
  </si>
  <si>
    <t>קוד תצורה</t>
  </si>
  <si>
    <t>טבלת קוד תצורת כסאות</t>
  </si>
  <si>
    <t>קוד</t>
  </si>
  <si>
    <t>כסא</t>
  </si>
  <si>
    <t>צוות</t>
  </si>
  <si>
    <t>דלק</t>
  </si>
  <si>
    <t>משקל בהמראה</t>
  </si>
  <si>
    <t>ציוד נוסף</t>
  </si>
  <si>
    <t>LONG</t>
  </si>
  <si>
    <t>LAT</t>
  </si>
  <si>
    <t>MANUALLY ADDED EQUIPMENT</t>
  </si>
  <si>
    <t>1)</t>
  </si>
  <si>
    <t>תא נוסעים</t>
  </si>
  <si>
    <t>a</t>
  </si>
  <si>
    <t>b</t>
  </si>
  <si>
    <t>FWD</t>
  </si>
  <si>
    <t>AFT</t>
  </si>
  <si>
    <t>LONG CG EXEED</t>
  </si>
  <si>
    <t>LHS Mid Fwd Club Passenger Seat</t>
  </si>
  <si>
    <t>RHS Mid Fwd Club Passenger Seat</t>
  </si>
  <si>
    <t>LHS Aft Fwd Club Passenger Seat</t>
  </si>
  <si>
    <t>MID Aft Fwd Club Passenger Seat</t>
  </si>
  <si>
    <t>RHS Aft Fwd Club Passenger Seat</t>
  </si>
  <si>
    <t>מקרא</t>
  </si>
  <si>
    <t>ניתן לעריכה</t>
  </si>
  <si>
    <t>נתון מאסטר</t>
  </si>
  <si>
    <t>kg</t>
  </si>
  <si>
    <t>גרסה</t>
  </si>
  <si>
    <t>תצורה והתקנות</t>
  </si>
  <si>
    <t>מסוק ריק</t>
  </si>
  <si>
    <t>מסוק וצוות</t>
  </si>
  <si>
    <t>+</t>
  </si>
  <si>
    <t>משקל מירבי להמראה</t>
  </si>
  <si>
    <t>משקל מירבי</t>
  </si>
  <si>
    <t>BML</t>
  </si>
  <si>
    <t>BMK</t>
  </si>
  <si>
    <t>BMM</t>
  </si>
  <si>
    <t>BMN</t>
  </si>
  <si>
    <t>SIDE BASKET</t>
  </si>
  <si>
    <t>SIDE BASKET CARGO</t>
  </si>
  <si>
    <t>TRANSPORT + 3</t>
  </si>
  <si>
    <t>TRANSPORT + 4</t>
  </si>
  <si>
    <t>FIRE - NO SEATS</t>
  </si>
  <si>
    <t>FIRE + 1</t>
  </si>
  <si>
    <t>FIRE + 2</t>
  </si>
  <si>
    <t>FIRE + 3</t>
  </si>
  <si>
    <t>כסא נוסע ימין קיצוני</t>
  </si>
  <si>
    <t>כסא נוסע שמאל קיצוני</t>
  </si>
  <si>
    <t>כסא נוסע מרכזי</t>
  </si>
  <si>
    <t>כסא נוסע ימין מרכזי</t>
  </si>
  <si>
    <t>כסא נוסע שמאל מרכזי</t>
  </si>
  <si>
    <t>ברזל</t>
  </si>
  <si>
    <t>EXT LON CG ENV</t>
  </si>
  <si>
    <t>משקל עם דלק</t>
  </si>
  <si>
    <t>CONSTANT FUEL DATA</t>
  </si>
  <si>
    <t>FUEL</t>
  </si>
  <si>
    <t>CONFIGURATION LIST</t>
  </si>
  <si>
    <t>גובה נבחר</t>
  </si>
  <si>
    <t>גובה מתחת</t>
  </si>
  <si>
    <t>גובה מעל</t>
  </si>
  <si>
    <t>ממוצע</t>
  </si>
  <si>
    <t>טמפ נבחרת</t>
  </si>
  <si>
    <t>מהק</t>
  </si>
  <si>
    <t>טמפ מתחת</t>
  </si>
  <si>
    <t>טמפ מעל</t>
  </si>
  <si>
    <t>סופי</t>
  </si>
  <si>
    <t>גובה</t>
  </si>
  <si>
    <t>טמפ'</t>
  </si>
  <si>
    <t>טמפ</t>
  </si>
  <si>
    <t>מהק 80</t>
  </si>
  <si>
    <t>מהק 80-</t>
  </si>
  <si>
    <t>OGE GRAPH</t>
  </si>
  <si>
    <t>X</t>
  </si>
  <si>
    <t>Y</t>
  </si>
  <si>
    <t>01: POLICE + 1</t>
  </si>
  <si>
    <t>02: POLICE + 2</t>
  </si>
  <si>
    <t>03: POLICE + 3</t>
  </si>
  <si>
    <t>POLICE + 1</t>
  </si>
  <si>
    <t>POLICE + 2</t>
  </si>
  <si>
    <t>POLICE + 3</t>
  </si>
  <si>
    <t>04: TRANSPORT + 3</t>
  </si>
  <si>
    <t>05: TRANSPORT + 4</t>
  </si>
  <si>
    <t>סל כיבוי</t>
  </si>
  <si>
    <t>מתלה מטען + מראות</t>
  </si>
  <si>
    <t>במבי</t>
  </si>
  <si>
    <t>כסאות</t>
  </si>
  <si>
    <t>07: FIRE + 1</t>
  </si>
  <si>
    <t>08: FIRE + 2</t>
  </si>
  <si>
    <t>09: FIRE + 3</t>
  </si>
  <si>
    <t>06: FIRE - NO SEATS</t>
  </si>
  <si>
    <t>משקל בסל</t>
  </si>
  <si>
    <t>מים (%)</t>
  </si>
  <si>
    <t>CARGO WEIGHT ON HOOK</t>
  </si>
  <si>
    <t>מחובר</t>
  </si>
  <si>
    <t>בסל</t>
  </si>
  <si>
    <t>בבטן</t>
  </si>
  <si>
    <t>סוג חישוב</t>
  </si>
  <si>
    <t>משקל על הוו</t>
  </si>
  <si>
    <t>מים</t>
  </si>
  <si>
    <t>משקל מועיל</t>
  </si>
  <si>
    <t>פריסטים לגיחה</t>
  </si>
  <si>
    <t>BAMBI BUCKET IN BASKET</t>
  </si>
  <si>
    <t>BAMBI BUCKET IN CABIN</t>
  </si>
  <si>
    <t>INT LONG CG LIMIT GRAPH</t>
  </si>
  <si>
    <t>EXT LONG CG LIMIT GRAPH</t>
  </si>
  <si>
    <t xml:space="preserve">EXTERNAL LOAD </t>
  </si>
  <si>
    <t>BAMBI WITH WATER</t>
  </si>
  <si>
    <t>XP</t>
  </si>
  <si>
    <t>פירוט תצורה</t>
  </si>
  <si>
    <t>100% (680 ל')</t>
  </si>
  <si>
    <t>70% (476 ל')</t>
  </si>
  <si>
    <t>80% (544 ל')</t>
  </si>
  <si>
    <t>90% (612 ל')</t>
  </si>
  <si>
    <t>EXT LAT CG ENV</t>
  </si>
  <si>
    <t>CALC EXT CG ENV</t>
  </si>
  <si>
    <t>נוסעים וציוד</t>
  </si>
  <si>
    <t>POLICE/FIRE + 1</t>
  </si>
  <si>
    <t>POLICE/FIRE + 2</t>
  </si>
  <si>
    <t>POLICE/FIRE + 3</t>
  </si>
  <si>
    <t>10: POLICE/FIRE + 1</t>
  </si>
  <si>
    <t>11: POLICE/FIRE + 2</t>
  </si>
  <si>
    <t>12: POLICE/FIRE + 3</t>
  </si>
  <si>
    <t>CUSTOM</t>
  </si>
  <si>
    <t>13: CUSTOM</t>
  </si>
  <si>
    <t>מהות העדכון</t>
  </si>
  <si>
    <t>ע"י</t>
  </si>
  <si>
    <t>בנצי</t>
  </si>
  <si>
    <t>מחיקת הערה על תצורה מאושרת לתצורת FIRE עם כדור קטן בלבד</t>
  </si>
  <si>
    <t>הוספת גרף ריחוף OGE בלשונית מה"ק</t>
  </si>
  <si>
    <t>הרחבת תצורת CUSTOM לביצוע מתלה מטען. תיקון גרף מה"ק למרכז כובד רוחבי</t>
  </si>
  <si>
    <t>עדכון נתוני שקילה ; הסרת שורת MISSION EQUIP</t>
  </si>
  <si>
    <t>חישוב מקסימום כח לפי</t>
  </si>
  <si>
    <t>חישוב מה"ק</t>
  </si>
  <si>
    <t>מה''ק (ללא ספייר)</t>
  </si>
  <si>
    <t>מה''ק מינוס 80KG</t>
  </si>
  <si>
    <t>תיקון באג DSP בתצורת POLICE/FIRE</t>
  </si>
  <si>
    <t>WEIGHT ON CABLE</t>
  </si>
  <si>
    <t>INTERNAL WEIGHT</t>
  </si>
  <si>
    <t>הוספת חישוב מתלה מטען (מלבד במבי), הגבלת 2250 פנימי</t>
  </si>
  <si>
    <t>משקל פנימי</t>
  </si>
  <si>
    <t>MAX ALLOWED FUEL (TOTAL)</t>
  </si>
  <si>
    <t>MAX ALLOWED FUEL (INT 2250)</t>
  </si>
  <si>
    <t>חישוב לביצוע EXT CARGO</t>
  </si>
  <si>
    <t>חישוב להמראה ונחיתה (2370)</t>
  </si>
  <si>
    <t>הוספת חישוב משקל פנימי 2250 ומירבי דלק בהתאם</t>
  </si>
  <si>
    <t xml:space="preserve">          Check Point Threat Extraction Secured This Document</t>
  </si>
  <si>
    <t>Get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</si>
</sst>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>
    <font>
      <sz val="11"/>
      <color theme="1"/>
      <name val="Arial"/>
      <family val="2"/>
      <charset val="-79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charset val="-79"/>
      <scheme val="minor"/>
    </font>
    <font>
      <sz val="11"/>
      <color theme="1" tint="0.34999001026153564"/>
      <name val="Arial"/>
      <family val="2"/>
      <charset val="-79"/>
      <scheme val="minor"/>
    </font>
    <font>
      <sz val="11"/>
      <color rgb="FFFF0000"/>
      <name val="Arial"/>
      <family val="2"/>
      <charset val="-79"/>
      <scheme val="minor"/>
    </font>
    <font>
      <sz val="11"/>
      <color theme="1"/>
      <name val="Arial"/>
      <family val="2"/>
      <charset val="-79"/>
    </font>
    <font>
      <b/>
      <sz val="11"/>
      <color rgb="FF000000"/>
      <name val="Arial"/>
      <family val="2"/>
    </font>
    <font>
      <b/>
      <sz val="11"/>
      <color theme="0"/>
      <name val="Arial"/>
      <family val="2"/>
      <scheme val="minor"/>
    </font>
    <font>
      <u val="single"/>
      <sz val="11"/>
      <color rgb="FF0000FF"/>
      <name val="Arial"/>
      <family val="2"/>
      <scheme val="minor"/>
    </font>
    <font>
      <sz val="14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7999799847602844"/>
        <bgColor indexed="64"/>
      </patternFill>
    </fill>
    <fill>
      <patternFill patternType="solid">
        <fgColor theme="0" tint="-0.149979993700981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049970000982284546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2" tint="-0.09995999932289124"/>
        <bgColor indexed="64"/>
      </patternFill>
    </fill>
    <fill>
      <patternFill patternType="solid">
        <fgColor theme="2" tint="-0.2499600052833557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3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799847602844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6F6F6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/>
      <bottom style="double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thin">
        <color theme="1" tint="0.24995000660419464"/>
      </left>
      <right style="thin">
        <color theme="1" tint="0.24995000660419464"/>
      </right>
      <top style="thin">
        <color theme="1" tint="0.24995000660419464"/>
      </top>
      <bottom/>
    </border>
    <border>
      <left style="thin">
        <color theme="1" tint="0.24995000660419464"/>
      </left>
      <right style="thin">
        <color theme="1" tint="0.24995000660419464"/>
      </right>
      <top/>
      <bottom/>
    </border>
    <border>
      <left style="thin">
        <color theme="1" tint="0.34999001026153564"/>
      </left>
      <right style="thin">
        <color theme="1" tint="0.34999001026153564"/>
      </right>
      <top/>
      <bottom style="thin">
        <color theme="1" tint="0.34999001026153564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theme="1" tint="0.34999001026153564"/>
      </left>
      <right style="thin">
        <color theme="1" tint="0.34999001026153564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theme="1" tint="0.34999001026153564"/>
      </left>
      <right style="thin">
        <color theme="1" tint="0.34999001026153564"/>
      </right>
      <top/>
      <bottom style="double">
        <color theme="1" tint="0.34999001026153564"/>
      </bottom>
    </border>
    <border>
      <left style="thin">
        <color theme="1" tint="0.24995000660419464"/>
      </left>
      <right style="thin">
        <color theme="1" tint="0.24995000660419464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medium">
        <color auto="1"/>
      </bottom>
    </border>
    <border>
      <left/>
      <right/>
      <top/>
      <bottom style="thin">
        <color rgb="FFE55586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</cellStyleXfs>
  <cellXfs count="3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Alignment="1">
      <alignment readingOrder="2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4" borderId="7" xfId="0" applyFill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2" fillId="2" borderId="1" xfId="0" applyFont="1" applyFill="1" applyBorder="1" applyAlignment="1">
      <alignment horizontal="center"/>
    </xf>
    <xf numFmtId="0" fontId="4" fillId="5" borderId="8" xfId="20" applyFont="1" applyFill="1" applyBorder="1">
      <alignment/>
      <protection/>
    </xf>
    <xf numFmtId="0" fontId="4" fillId="5" borderId="9" xfId="20" applyFont="1" applyFill="1" applyBorder="1">
      <alignment/>
      <protection/>
    </xf>
    <xf numFmtId="0" fontId="4" fillId="5" borderId="10" xfId="20" applyFont="1" applyFill="1" applyBorder="1">
      <alignment/>
      <protection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right" readingOrder="2"/>
    </xf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2" fontId="0" fillId="0" borderId="1" xfId="0" applyNumberFormat="1" applyBorder="1"/>
    <xf numFmtId="2" fontId="0" fillId="0" borderId="5" xfId="0" applyNumberFormat="1" applyBorder="1"/>
    <xf numFmtId="2" fontId="0" fillId="0" borderId="4" xfId="0" applyNumberFormat="1" applyBorder="1"/>
    <xf numFmtId="2" fontId="0" fillId="4" borderId="1" xfId="0" applyNumberFormat="1" applyFill="1" applyBorder="1"/>
    <xf numFmtId="2" fontId="0" fillId="4" borderId="3" xfId="0" applyNumberFormat="1" applyFill="1" applyBorder="1"/>
    <xf numFmtId="2" fontId="0" fillId="0" borderId="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3" borderId="0" xfId="0" applyFill="1" applyAlignment="1">
      <alignment readingOrder="2"/>
    </xf>
    <xf numFmtId="2" fontId="0" fillId="0" borderId="7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/>
    <xf numFmtId="2" fontId="0" fillId="2" borderId="7" xfId="0" applyNumberFormat="1" applyFill="1" applyBorder="1" applyAlignment="1">
      <alignment horizontal="center"/>
    </xf>
    <xf numFmtId="2" fontId="0" fillId="4" borderId="2" xfId="0" applyNumberFormat="1" applyFill="1" applyBorder="1"/>
    <xf numFmtId="2" fontId="0" fillId="0" borderId="6" xfId="0" applyNumberFormat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/>
    <xf numFmtId="2" fontId="0" fillId="2" borderId="1" xfId="0" applyNumberFormat="1" applyFill="1" applyBorder="1" applyAlignment="1">
      <alignment horizontal="center"/>
    </xf>
    <xf numFmtId="164" fontId="0" fillId="0" borderId="2" xfId="0" applyNumberFormat="1" applyBorder="1"/>
    <xf numFmtId="164" fontId="0" fillId="0" borderId="6" xfId="0" applyNumberFormat="1" applyBorder="1"/>
    <xf numFmtId="0" fontId="0" fillId="2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3" xfId="0" applyNumberFormat="1" applyBorder="1"/>
    <xf numFmtId="1" fontId="0" fillId="0" borderId="4" xfId="0" applyNumberFormat="1" applyBorder="1"/>
    <xf numFmtId="0" fontId="0" fillId="3" borderId="0" xfId="0" applyFill="1" applyAlignment="1">
      <alignment horizontal="center"/>
    </xf>
    <xf numFmtId="1" fontId="2" fillId="3" borderId="0" xfId="0" applyNumberFormat="1" applyFont="1" applyFill="1"/>
    <xf numFmtId="0" fontId="0" fillId="3" borderId="16" xfId="0" applyFill="1" applyBorder="1"/>
    <xf numFmtId="0" fontId="2" fillId="3" borderId="0" xfId="0" applyFont="1" applyFill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0" xfId="0" applyFont="1" applyFill="1" applyBorder="1" applyAlignment="1">
      <alignment/>
    </xf>
    <xf numFmtId="2" fontId="0" fillId="2" borderId="2" xfId="0" applyNumberFormat="1" applyFill="1" applyBorder="1" applyAlignment="1">
      <alignment horizontal="center" readingOrder="2"/>
    </xf>
    <xf numFmtId="2" fontId="0" fillId="2" borderId="3" xfId="0" applyNumberFormat="1" applyFill="1" applyBorder="1" applyAlignment="1">
      <alignment horizontal="center" readingOrder="2"/>
    </xf>
    <xf numFmtId="2" fontId="0" fillId="2" borderId="2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 readingOrder="2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8" borderId="1" xfId="0" applyFill="1" applyBorder="1" applyProtection="1">
      <protection locked="0"/>
    </xf>
    <xf numFmtId="0" fontId="0" fillId="8" borderId="1" xfId="0" applyFill="1" applyBorder="1" applyAlignment="1" applyProtection="1">
      <alignment horizontal="center"/>
      <protection locked="0"/>
    </xf>
    <xf numFmtId="14" fontId="0" fillId="8" borderId="1" xfId="0" applyNumberFormat="1" applyFill="1" applyBorder="1" applyAlignment="1" applyProtection="1">
      <alignment horizontal="center"/>
      <protection locked="0"/>
    </xf>
    <xf numFmtId="14" fontId="0" fillId="8" borderId="5" xfId="0" applyNumberFormat="1" applyFill="1" applyBorder="1" applyAlignment="1" applyProtection="1">
      <alignment horizontal="center"/>
      <protection locked="0"/>
    </xf>
    <xf numFmtId="0" fontId="0" fillId="6" borderId="3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3" xfId="0" applyFill="1" applyBorder="1"/>
    <xf numFmtId="0" fontId="0" fillId="9" borderId="2" xfId="0" applyFill="1" applyBorder="1"/>
    <xf numFmtId="0" fontId="0" fillId="9" borderId="7" xfId="0" applyFill="1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0" fillId="3" borderId="0" xfId="0" applyFill="1" applyBorder="1"/>
    <xf numFmtId="1" fontId="0" fillId="3" borderId="0" xfId="0" applyNumberFormat="1" applyFill="1" applyBorder="1"/>
    <xf numFmtId="1" fontId="8" fillId="3" borderId="0" xfId="0" applyNumberFormat="1" applyFont="1" applyFill="1"/>
    <xf numFmtId="0" fontId="0" fillId="3" borderId="18" xfId="0" applyFill="1" applyBorder="1"/>
    <xf numFmtId="1" fontId="0" fillId="3" borderId="18" xfId="0" applyNumberFormat="1" applyFill="1" applyBorder="1"/>
    <xf numFmtId="0" fontId="2" fillId="8" borderId="19" xfId="0" applyFont="1" applyFill="1" applyBorder="1" applyAlignment="1" applyProtection="1">
      <alignment horizontal="center"/>
      <protection locked="0"/>
    </xf>
    <xf numFmtId="0" fontId="0" fillId="3" borderId="20" xfId="0" applyFill="1" applyBorder="1"/>
    <xf numFmtId="0" fontId="0" fillId="3" borderId="21" xfId="0" applyFill="1" applyBorder="1" applyAlignment="1">
      <alignment horizontal="center"/>
    </xf>
    <xf numFmtId="1" fontId="0" fillId="3" borderId="21" xfId="0" applyNumberForma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5" borderId="0" xfId="20" applyFont="1" applyFill="1" applyBorder="1">
      <alignment/>
      <protection/>
    </xf>
    <xf numFmtId="0" fontId="0" fillId="2" borderId="27" xfId="0" applyFill="1" applyBorder="1" applyAlignment="1">
      <alignment horizontal="center"/>
    </xf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7" xfId="0" applyBorder="1"/>
    <xf numFmtId="0" fontId="2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0" fillId="0" borderId="0" xfId="0" applyFont="1" applyFill="1" applyBorder="1"/>
    <xf numFmtId="0" fontId="10" fillId="11" borderId="0" xfId="0" applyFont="1" applyFill="1" applyBorder="1"/>
    <xf numFmtId="2" fontId="10" fillId="0" borderId="39" xfId="0" applyNumberFormat="1" applyFont="1" applyFill="1" applyBorder="1" applyAlignment="1" applyProtection="1">
      <alignment horizontal="center" vertical="center"/>
      <protection/>
    </xf>
    <xf numFmtId="1" fontId="10" fillId="0" borderId="40" xfId="0" applyNumberFormat="1" applyFont="1" applyFill="1" applyBorder="1" applyAlignment="1" applyProtection="1">
      <alignment horizontal="center"/>
      <protection/>
    </xf>
    <xf numFmtId="0" fontId="10" fillId="0" borderId="40" xfId="0" applyFont="1" applyFill="1" applyBorder="1"/>
    <xf numFmtId="0" fontId="10" fillId="0" borderId="41" xfId="0" applyFont="1" applyFill="1" applyBorder="1"/>
    <xf numFmtId="0" fontId="10" fillId="12" borderId="0" xfId="0" applyFont="1" applyFill="1" applyBorder="1"/>
    <xf numFmtId="0" fontId="10" fillId="0" borderId="42" xfId="0" applyFont="1" applyFill="1" applyBorder="1"/>
    <xf numFmtId="0" fontId="10" fillId="11" borderId="43" xfId="0" applyFont="1" applyFill="1" applyBorder="1"/>
    <xf numFmtId="1" fontId="11" fillId="0" borderId="0" xfId="0" applyNumberFormat="1" applyFont="1" applyFill="1" applyBorder="1" applyAlignment="1" applyProtection="1">
      <alignment horizontal="center" vertical="center"/>
      <protection/>
    </xf>
    <xf numFmtId="0" fontId="11" fillId="0" borderId="43" xfId="0" applyFont="1" applyFill="1" applyBorder="1"/>
    <xf numFmtId="164" fontId="10" fillId="0" borderId="0" xfId="0" applyNumberFormat="1" applyFont="1" applyFill="1" applyBorder="1" applyAlignment="1" applyProtection="1">
      <alignment horizontal="center" vertical="center"/>
      <protection/>
    </xf>
    <xf numFmtId="1" fontId="10" fillId="0" borderId="0" xfId="0" applyNumberFormat="1" applyFont="1" applyFill="1" applyBorder="1" applyAlignment="1" applyProtection="1">
      <alignment horizontal="center"/>
      <protection locked="0"/>
    </xf>
    <xf numFmtId="1" fontId="10" fillId="0" borderId="0" xfId="0" applyNumberFormat="1" applyFont="1" applyFill="1" applyBorder="1" applyAlignment="1" applyProtection="1">
      <alignment horizontal="center" vertical="center"/>
      <protection/>
    </xf>
    <xf numFmtId="0" fontId="10" fillId="0" borderId="24" xfId="0" applyFont="1" applyFill="1" applyBorder="1"/>
    <xf numFmtId="0" fontId="10" fillId="12" borderId="17" xfId="0" applyFont="1" applyFill="1" applyBorder="1"/>
    <xf numFmtId="0" fontId="10" fillId="0" borderId="17" xfId="0" applyFont="1" applyFill="1" applyBorder="1"/>
    <xf numFmtId="0" fontId="10" fillId="0" borderId="7" xfId="0" applyFont="1" applyFill="1" applyBorder="1"/>
    <xf numFmtId="0" fontId="11" fillId="0" borderId="26" xfId="0" applyFont="1" applyFill="1" applyBorder="1"/>
    <xf numFmtId="2" fontId="0" fillId="2" borderId="3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 readingOrder="2"/>
    </xf>
    <xf numFmtId="2" fontId="0" fillId="0" borderId="6" xfId="0" applyNumberFormat="1" applyFill="1" applyBorder="1" applyAlignment="1">
      <alignment horizontal="center" readingOrder="2"/>
    </xf>
    <xf numFmtId="0" fontId="7" fillId="3" borderId="0" xfId="0" applyFont="1" applyFill="1" applyBorder="1" applyAlignment="1">
      <alignment horizontal="right" vertical="center"/>
    </xf>
    <xf numFmtId="0" fontId="0" fillId="5" borderId="2" xfId="0" applyFill="1" applyBorder="1"/>
    <xf numFmtId="9" fontId="0" fillId="0" borderId="0" xfId="15" applyFont="1"/>
    <xf numFmtId="9" fontId="0" fillId="8" borderId="1" xfId="15" applyFont="1" applyFill="1" applyBorder="1" applyProtection="1">
      <protection locked="0"/>
    </xf>
    <xf numFmtId="0" fontId="0" fillId="5" borderId="6" xfId="0" applyFill="1" applyBorder="1"/>
    <xf numFmtId="0" fontId="0" fillId="3" borderId="0" xfId="0" applyFill="1" applyBorder="1" applyAlignment="1" applyProtection="1">
      <alignment horizontal="right"/>
      <protection locked="0"/>
    </xf>
    <xf numFmtId="0" fontId="0" fillId="3" borderId="0" xfId="0" applyFill="1" applyBorder="1" applyAlignment="1">
      <alignment horizontal="right"/>
    </xf>
    <xf numFmtId="1" fontId="0" fillId="3" borderId="44" xfId="0" applyNumberForma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5" xfId="0" applyBorder="1"/>
    <xf numFmtId="0" fontId="0" fillId="9" borderId="8" xfId="0" applyFill="1" applyBorder="1"/>
    <xf numFmtId="0" fontId="0" fillId="9" borderId="39" xfId="0" applyFill="1" applyBorder="1"/>
    <xf numFmtId="0" fontId="0" fillId="9" borderId="46" xfId="0" applyFill="1" applyBorder="1"/>
    <xf numFmtId="0" fontId="0" fillId="0" borderId="12" xfId="0" applyBorder="1"/>
    <xf numFmtId="0" fontId="0" fillId="13" borderId="13" xfId="0" applyFill="1" applyBorder="1"/>
    <xf numFmtId="0" fontId="0" fillId="13" borderId="15" xfId="0" applyFill="1" applyBorder="1"/>
    <xf numFmtId="0" fontId="0" fillId="13" borderId="14" xfId="0" applyFill="1" applyBorder="1"/>
    <xf numFmtId="0" fontId="0" fillId="13" borderId="1" xfId="0" applyFill="1" applyBorder="1"/>
    <xf numFmtId="0" fontId="0" fillId="13" borderId="7" xfId="0" applyFill="1" applyBorder="1"/>
    <xf numFmtId="0" fontId="0" fillId="13" borderId="3" xfId="0" applyFill="1" applyBorder="1"/>
    <xf numFmtId="0" fontId="0" fillId="13" borderId="5" xfId="0" applyFill="1" applyBorder="1"/>
    <xf numFmtId="0" fontId="0" fillId="13" borderId="11" xfId="0" applyFill="1" applyBorder="1"/>
    <xf numFmtId="0" fontId="0" fillId="13" borderId="4" xfId="0" applyFill="1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0" xfId="0" applyFont="1" applyFill="1"/>
    <xf numFmtId="0" fontId="12" fillId="14" borderId="1" xfId="0" applyFont="1" applyFill="1" applyBorder="1" applyAlignment="1">
      <alignment vertical="center"/>
    </xf>
    <xf numFmtId="0" fontId="2" fillId="15" borderId="1" xfId="0" applyFont="1" applyFill="1" applyBorder="1" applyAlignment="1" applyProtection="1">
      <alignment vertical="center"/>
      <protection locked="0"/>
    </xf>
    <xf numFmtId="1" fontId="0" fillId="5" borderId="3" xfId="0" applyNumberFormat="1" applyFill="1" applyBorder="1"/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1" fontId="0" fillId="3" borderId="0" xfId="0" applyNumberFormat="1" applyFill="1"/>
    <xf numFmtId="0" fontId="0" fillId="5" borderId="3" xfId="0" applyFill="1" applyBorder="1" applyAlignment="1">
      <alignment horizontal="center"/>
    </xf>
    <xf numFmtId="1" fontId="0" fillId="5" borderId="49" xfId="0" applyNumberFormat="1" applyFill="1" applyBorder="1" applyProtection="1">
      <protection locked="0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2" fillId="16" borderId="12" xfId="0" applyNumberFormat="1" applyFont="1" applyFill="1" applyBorder="1" applyAlignment="1">
      <alignment horizontal="center" vertical="center"/>
    </xf>
    <xf numFmtId="14" fontId="2" fillId="16" borderId="13" xfId="0" applyNumberFormat="1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2" fillId="8" borderId="1" xfId="0" applyNumberFormat="1" applyFont="1" applyFill="1" applyBorder="1" applyAlignment="1" applyProtection="1">
      <alignment horizontal="center"/>
      <protection locked="0"/>
    </xf>
    <xf numFmtId="2" fontId="0" fillId="8" borderId="1" xfId="0" applyNumberFormat="1" applyFill="1" applyBorder="1" applyAlignment="1" applyProtection="1">
      <alignment horizontal="center"/>
      <protection locked="0"/>
    </xf>
    <xf numFmtId="2" fontId="0" fillId="8" borderId="3" xfId="0" applyNumberFormat="1" applyFill="1" applyBorder="1" applyAlignment="1" applyProtection="1">
      <alignment horizontal="center"/>
      <protection locked="0"/>
    </xf>
    <xf numFmtId="2" fontId="2" fillId="8" borderId="5" xfId="0" applyNumberFormat="1" applyFont="1" applyFill="1" applyBorder="1" applyAlignment="1" applyProtection="1">
      <alignment horizontal="center"/>
      <protection locked="0"/>
    </xf>
    <xf numFmtId="2" fontId="0" fillId="8" borderId="5" xfId="0" applyNumberFormat="1" applyFill="1" applyBorder="1" applyAlignment="1" applyProtection="1">
      <alignment horizontal="center"/>
      <protection locked="0"/>
    </xf>
    <xf numFmtId="2" fontId="0" fillId="8" borderId="4" xfId="0" applyNumberFormat="1" applyFill="1" applyBorder="1" applyAlignment="1" applyProtection="1">
      <alignment horizontal="center"/>
      <protection locked="0"/>
    </xf>
    <xf numFmtId="2" fontId="0" fillId="2" borderId="50" xfId="0" applyNumberFormat="1" applyFill="1" applyBorder="1" applyAlignment="1">
      <alignment horizontal="center"/>
    </xf>
    <xf numFmtId="1" fontId="0" fillId="0" borderId="50" xfId="0" applyNumberFormat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8" borderId="51" xfId="0" applyFont="1" applyFill="1" applyBorder="1" applyAlignment="1" applyProtection="1">
      <alignment horizontal="center"/>
      <protection locked="0"/>
    </xf>
    <xf numFmtId="0" fontId="2" fillId="8" borderId="52" xfId="0" applyFont="1" applyFill="1" applyBorder="1" applyAlignment="1" applyProtection="1">
      <alignment horizontal="center"/>
      <protection locked="0"/>
    </xf>
    <xf numFmtId="0" fontId="2" fillId="8" borderId="19" xfId="0" applyFont="1" applyFill="1" applyBorder="1" applyAlignment="1" applyProtection="1">
      <alignment horizontal="center"/>
      <protection locked="0"/>
    </xf>
    <xf numFmtId="0" fontId="0" fillId="3" borderId="0" xfId="0" applyFill="1" applyAlignment="1">
      <alignment horizontal="center" readingOrder="2"/>
    </xf>
    <xf numFmtId="0" fontId="0" fillId="3" borderId="0" xfId="0" applyFill="1" applyAlignment="1">
      <alignment horizontal="right"/>
    </xf>
    <xf numFmtId="0" fontId="0" fillId="17" borderId="2" xfId="0" applyFill="1" applyBorder="1" applyAlignment="1">
      <alignment horizontal="right" readingOrder="2"/>
    </xf>
    <xf numFmtId="0" fontId="0" fillId="17" borderId="3" xfId="0" applyFill="1" applyBorder="1" applyAlignment="1">
      <alignment horizontal="right" readingOrder="2"/>
    </xf>
    <xf numFmtId="0" fontId="2" fillId="18" borderId="12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0" fillId="17" borderId="6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17" borderId="2" xfId="0" applyFill="1" applyBorder="1" applyAlignment="1">
      <alignment horizontal="right"/>
    </xf>
    <xf numFmtId="0" fontId="0" fillId="17" borderId="3" xfId="0" applyFill="1" applyBorder="1" applyAlignment="1">
      <alignment horizontal="right"/>
    </xf>
    <xf numFmtId="0" fontId="7" fillId="3" borderId="0" xfId="0" applyFont="1" applyFill="1" applyBorder="1" applyAlignment="1">
      <alignment horizontal="right" vertical="center"/>
    </xf>
    <xf numFmtId="0" fontId="2" fillId="19" borderId="12" xfId="0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center"/>
    </xf>
    <xf numFmtId="9" fontId="0" fillId="20" borderId="53" xfId="15" applyFont="1" applyFill="1" applyBorder="1" applyAlignment="1">
      <alignment horizontal="center" readingOrder="2"/>
    </xf>
    <xf numFmtId="9" fontId="0" fillId="20" borderId="38" xfId="15" applyFont="1" applyFill="1" applyBorder="1" applyAlignment="1">
      <alignment horizontal="center" readingOrder="2"/>
    </xf>
    <xf numFmtId="9" fontId="0" fillId="21" borderId="54" xfId="15" applyFont="1" applyFill="1" applyBorder="1" applyAlignment="1">
      <alignment horizontal="center" vertical="center" readingOrder="2"/>
    </xf>
    <xf numFmtId="9" fontId="0" fillId="21" borderId="26" xfId="15" applyFont="1" applyFill="1" applyBorder="1" applyAlignment="1">
      <alignment horizontal="center" vertical="center" readingOrder="2"/>
    </xf>
    <xf numFmtId="0" fontId="2" fillId="22" borderId="0" xfId="0" applyFont="1" applyFill="1" applyAlignment="1">
      <alignment horizontal="center"/>
    </xf>
    <xf numFmtId="0" fontId="2" fillId="15" borderId="7" xfId="0" applyFont="1" applyFill="1" applyBorder="1" applyAlignment="1" applyProtection="1">
      <alignment horizontal="center" vertical="center"/>
      <protection locked="0"/>
    </xf>
    <xf numFmtId="0" fontId="2" fillId="15" borderId="26" xfId="0" applyFont="1" applyFill="1" applyBorder="1" applyAlignment="1" applyProtection="1">
      <alignment horizontal="center" vertical="center"/>
      <protection locked="0"/>
    </xf>
    <xf numFmtId="0" fontId="0" fillId="3" borderId="40" xfId="0" applyFill="1" applyBorder="1" applyAlignment="1">
      <alignment horizontal="center"/>
    </xf>
    <xf numFmtId="0" fontId="0" fillId="3" borderId="40" xfId="0" applyFill="1" applyBorder="1" applyAlignment="1">
      <alignment horizontal="right"/>
    </xf>
    <xf numFmtId="2" fontId="8" fillId="3" borderId="0" xfId="0" applyNumberFormat="1" applyFont="1" applyFill="1" applyAlignment="1" applyProtection="1">
      <alignment horizontal="right"/>
      <protection locked="0"/>
    </xf>
    <xf numFmtId="9" fontId="0" fillId="23" borderId="54" xfId="15" applyFont="1" applyFill="1" applyBorder="1" applyAlignment="1">
      <alignment horizontal="center" vertical="center" readingOrder="2"/>
    </xf>
    <xf numFmtId="9" fontId="0" fillId="23" borderId="26" xfId="15" applyFont="1" applyFill="1" applyBorder="1" applyAlignment="1">
      <alignment horizontal="center" vertical="center" readingOrder="2"/>
    </xf>
    <xf numFmtId="9" fontId="0" fillId="16" borderId="54" xfId="15" applyFont="1" applyFill="1" applyBorder="1" applyAlignment="1">
      <alignment horizontal="center" readingOrder="2"/>
    </xf>
    <xf numFmtId="9" fontId="0" fillId="16" borderId="26" xfId="15" applyFont="1" applyFill="1" applyBorder="1" applyAlignment="1">
      <alignment horizontal="center" readingOrder="2"/>
    </xf>
    <xf numFmtId="0" fontId="2" fillId="3" borderId="54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center" readingOrder="1"/>
      <protection locked="0"/>
    </xf>
    <xf numFmtId="0" fontId="0" fillId="8" borderId="18" xfId="0" applyFill="1" applyBorder="1" applyAlignment="1" applyProtection="1">
      <alignment horizontal="center" readingOrder="1"/>
      <protection locked="0"/>
    </xf>
    <xf numFmtId="0" fontId="0" fillId="8" borderId="26" xfId="0" applyFill="1" applyBorder="1" applyAlignment="1" applyProtection="1">
      <alignment horizontal="center" readingOrder="1"/>
      <protection locked="0"/>
    </xf>
    <xf numFmtId="0" fontId="0" fillId="3" borderId="0" xfId="0" applyFill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24" borderId="12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2" fontId="2" fillId="24" borderId="55" xfId="0" applyNumberFormat="1" applyFont="1" applyFill="1" applyBorder="1" applyAlignment="1">
      <alignment horizontal="center"/>
    </xf>
    <xf numFmtId="2" fontId="2" fillId="24" borderId="56" xfId="0" applyNumberFormat="1" applyFont="1" applyFill="1" applyBorder="1" applyAlignment="1">
      <alignment horizontal="center"/>
    </xf>
    <xf numFmtId="2" fontId="2" fillId="24" borderId="57" xfId="0" applyNumberFormat="1" applyFont="1" applyFill="1" applyBorder="1" applyAlignment="1">
      <alignment horizontal="center"/>
    </xf>
    <xf numFmtId="2" fontId="2" fillId="24" borderId="12" xfId="0" applyNumberFormat="1" applyFont="1" applyFill="1" applyBorder="1" applyAlignment="1">
      <alignment horizontal="center"/>
    </xf>
    <xf numFmtId="2" fontId="2" fillId="24" borderId="13" xfId="0" applyNumberFormat="1" applyFont="1" applyFill="1" applyBorder="1" applyAlignment="1">
      <alignment horizontal="center"/>
    </xf>
    <xf numFmtId="2" fontId="2" fillId="24" borderId="14" xfId="0" applyNumberFormat="1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2" fillId="7" borderId="56" xfId="0" applyFont="1" applyFill="1" applyBorder="1" applyAlignment="1">
      <alignment horizontal="center"/>
    </xf>
    <xf numFmtId="0" fontId="2" fillId="7" borderId="5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4" borderId="60" xfId="0" applyFont="1" applyFill="1" applyBorder="1" applyAlignment="1">
      <alignment horizontal="center" vertical="center"/>
    </xf>
    <xf numFmtId="0" fontId="2" fillId="24" borderId="19" xfId="0" applyFont="1" applyFill="1" applyBorder="1" applyAlignment="1">
      <alignment horizontal="center" vertical="center"/>
    </xf>
    <xf numFmtId="1" fontId="0" fillId="0" borderId="5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7" borderId="50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2" fillId="24" borderId="31" xfId="0" applyNumberFormat="1" applyFont="1" applyFill="1" applyBorder="1" applyAlignment="1">
      <alignment horizontal="center"/>
    </xf>
    <xf numFmtId="2" fontId="2" fillId="24" borderId="32" xfId="0" applyNumberFormat="1" applyFont="1" applyFill="1" applyBorder="1" applyAlignment="1">
      <alignment horizontal="center"/>
    </xf>
    <xf numFmtId="2" fontId="2" fillId="24" borderId="33" xfId="0" applyNumberFormat="1" applyFont="1" applyFill="1" applyBorder="1" applyAlignment="1">
      <alignment horizontal="center"/>
    </xf>
    <xf numFmtId="0" fontId="14" fillId="25" borderId="61" xfId="0" applyFont="1" applyFill="1" applyBorder="1" applyAlignment="1">
      <alignment horizontal="left" vertical="center"/>
    </xf>
    <xf numFmtId="0" fontId="14" fillId="25" borderId="61" xfId="0" applyFont="1" applyFill="1" applyBorder="1" applyAlignment="1">
      <alignment horizontal="center" vertical="center"/>
    </xf>
    <xf numFmtId="0" fontId="13" fillId="25" borderId="61" xfId="21" applyFont="1" applyFill="1" applyBorder="1" applyAlignment="1">
      <alignment horizontal="center" vertical="center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Hyperlink" xfId="21" builtinId="8"/>
  </cellStyles>
  <dxfs count="51"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ill>
        <patternFill>
          <bgColor theme="5" tint="0.5999600291252136"/>
        </patternFill>
      </fill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ill>
        <patternFill>
          <bgColor rgb="FFFF0000"/>
        </patternFill>
      </fill>
    </dxf>
    <dxf>
      <font>
        <color theme="0" tint="-0.14994999766349792"/>
      </font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theme="5" tint="0.5999600291252136"/>
        </patternFill>
      </fill>
    </dxf>
    <dxf>
      <font>
        <color theme="0" tint="-0.4999600052833557"/>
      </font>
    </dxf>
    <dxf>
      <font>
        <color theme="0" tint="-0.14994999766349792"/>
      </font>
      <fill>
        <patternFill patternType="solid">
          <bgColor theme="0" tint="-0.14994999766349792"/>
        </patternFill>
      </fill>
    </dxf>
    <dxf>
      <fill>
        <patternFill>
          <bgColor rgb="FFFF0000"/>
        </patternFill>
      </fill>
    </dxf>
    <dxf>
      <font>
        <color theme="9" tint="-0.2499299943447113"/>
      </font>
    </dxf>
    <dxf>
      <font>
        <color rgb="FFFF0000"/>
      </font>
    </dxf>
    <dxf>
      <font>
        <color theme="0" tint="-0.14994999766349792"/>
      </font>
      <fill>
        <patternFill>
          <bgColor theme="0" tint="-0.14994999766349792"/>
        </patternFill>
      </fill>
    </dxf>
    <dxf>
      <fill>
        <patternFill>
          <bgColor theme="5" tint="0.3999499976634979"/>
        </patternFill>
      </fill>
    </dxf>
    <dxf>
      <font>
        <color theme="0" tint="-0.14994999766349792"/>
      </font>
      <fill>
        <patternFill>
          <bgColor theme="0" tint="-0.14994999766349792"/>
        </patternFill>
      </fill>
      <border>
        <left style="thin">
          <color theme="0" tint="-0.14994999766349792"/>
        </left>
        <right style="thin">
          <color theme="0" tint="-0.14994999766349792"/>
        </right>
        <top style="thin">
          <color theme="0" tint="-0.14994999766349792"/>
        </top>
        <bottom style="thin">
          <color theme="0" tint="-0.14994999766349792"/>
        </bottom>
      </border>
    </dxf>
    <dxf>
      <fill>
        <patternFill>
          <bgColor theme="5" tint="0.5999600291252136"/>
        </patternFill>
      </fill>
    </dxf>
    <dxf>
      <fill>
        <patternFill>
          <bgColor theme="5" tint="0.5999600291252136"/>
        </patternFill>
      </fill>
    </dxf>
    <dxf>
      <fill>
        <patternFill>
          <bgColor theme="5" tint="0.3999499976634979"/>
        </patternFill>
      </fill>
    </dxf>
    <dxf>
      <fill>
        <patternFill>
          <bgColor theme="5" tint="0.5999600291252136"/>
        </patternFill>
      </fill>
    </dxf>
    <dxf>
      <fill>
        <patternFill>
          <bgColor theme="5" tint="0.5999600291252136"/>
        </patternFill>
      </fill>
    </dxf>
    <dxf>
      <fill>
        <patternFill>
          <bgColor theme="5" tint="0.5999600291252136"/>
        </patternFill>
      </fill>
    </dxf>
    <dxf>
      <fill>
        <patternFill>
          <bgColor theme="5" tint="0.5999600291252136"/>
        </patternFill>
      </fill>
    </dxf>
    <dxf>
      <font>
        <color rgb="FFFF0000"/>
      </font>
    </dxf>
    <dxf>
      <font>
        <color theme="0" tint="-0.14994999766349792"/>
      </font>
      <fill>
        <patternFill>
          <bgColor theme="0" tint="-0.14994999766349792"/>
        </patternFill>
      </fill>
      <border>
        <left/>
        <right/>
        <top/>
        <bottom/>
      </border>
    </dxf>
    <dxf>
      <font>
        <color theme="0" tint="-0.1499499976634979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rtl="1">
              <a:defRPr/>
            </a:pPr>
            <a:r>
              <a:rPr lang="en-US" u="none" baseline="0"/>
              <a:t>CG</a:t>
            </a:r>
            <a:r>
              <a:rPr lang="he-IL" u="none" baseline="0"/>
              <a:t> רוחבי</a:t>
            </a:r>
          </a:p>
        </c:rich>
      </c:tx>
      <c:layout>
        <c:manualLayout>
          <c:xMode val="edge"/>
          <c:yMode val="edge"/>
          <c:x val="0.854"/>
          <c:y val="0.05525"/>
        </c:manualLayout>
      </c:layout>
      <c:overlay val="1"/>
      <c:spPr>
        <a:solidFill>
          <a:schemeClr val="bg1">
            <a:lumMod val="95000"/>
          </a:schemeClr>
        </a:solidFill>
        <a:effectLst/>
      </c:spPr>
    </c:title>
    <c:autoTitleDeleted val="0"/>
    <c:plotArea>
      <c:layout/>
      <c:scatterChart>
        <c:scatterStyle val="line"/>
        <c:varyColors val="0"/>
        <c:ser>
          <c:idx val="2"/>
          <c:order val="0"/>
          <c:tx>
            <c:v>EXT LAT LIMIT</c:v>
          </c:tx>
          <c:spPr>
            <a:ln w="15875" cmpd="sng">
              <a:solidFill>
                <a:srgbClr val="FF0000"/>
              </a:solidFill>
            </a:ln>
            <a:effectLst/>
          </c:spPr>
          <c:marker>
            <c:symbol val="none"/>
          </c:marker>
          <c:xVal>
            <c:numRef>
              <c:f>נתונים!$Z$25:$Z$28</c:f>
              <c:numCache>
                <c:formatCode>General</c:formatCode>
                <c:ptCount val="4"/>
                <c:pt idx="0">
                  <c:v>-0.08</c:v>
                </c:pt>
                <c:pt idx="1">
                  <c:v>-0.08</c:v>
                </c:pt>
                <c:pt idx="2">
                  <c:v>0.08</c:v>
                </c:pt>
                <c:pt idx="3">
                  <c:v>0.08</c:v>
                </c:pt>
              </c:numCache>
            </c:numRef>
          </c:xVal>
          <c:yVal>
            <c:numRef>
              <c:f>נתונים!$AA$25:$AA$28</c:f>
              <c:numCache>
                <c:formatCode>General</c:formatCode>
                <c:ptCount val="4"/>
                <c:pt idx="0">
                  <c:v>2370</c:v>
                </c:pt>
                <c:pt idx="1">
                  <c:v>2660</c:v>
                </c:pt>
                <c:pt idx="2">
                  <c:v>2660</c:v>
                </c:pt>
                <c:pt idx="3">
                  <c:v>2370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F-460D-9DEB-7C730EB9C44A}"/>
            </c:ext>
          </c:extLst>
        </c:ser>
        <c:ser>
          <c:idx val="0"/>
          <c:order val="1"/>
          <c:tx>
            <c:v>LAT CG LIMIT</c:v>
          </c:tx>
          <c:marker>
            <c:symbol val="none"/>
          </c:marker>
          <c:xVal>
            <c:numRef>
              <c:f>נתונים!$Z$9:$Z$17</c:f>
              <c:numCache>
                <c:formatCode>General</c:formatCode>
                <c:ptCount val="9"/>
                <c:pt idx="0">
                  <c:v>-0.08</c:v>
                </c:pt>
                <c:pt idx="1">
                  <c:v>0.08</c:v>
                </c:pt>
                <c:pt idx="2">
                  <c:v>0.08</c:v>
                </c:pt>
                <c:pt idx="3">
                  <c:v>0.14</c:v>
                </c:pt>
                <c:pt idx="4">
                  <c:v>0.14</c:v>
                </c:pt>
                <c:pt idx="5">
                  <c:v>-0.18</c:v>
                </c:pt>
                <c:pt idx="6">
                  <c:v>-0.18</c:v>
                </c:pt>
                <c:pt idx="7">
                  <c:v>-0.08</c:v>
                </c:pt>
                <c:pt idx="8">
                  <c:v>-0.08</c:v>
                </c:pt>
              </c:numCache>
            </c:numRef>
          </c:xVal>
          <c:yVal>
            <c:numRef>
              <c:f>נתונים!$AA$9:$AA$17</c:f>
              <c:numCache>
                <c:formatCode>General</c:formatCode>
                <c:ptCount val="9"/>
                <c:pt idx="0">
                  <c:v>2370</c:v>
                </c:pt>
                <c:pt idx="1">
                  <c:v>2370</c:v>
                </c:pt>
                <c:pt idx="2">
                  <c:v>2250</c:v>
                </c:pt>
                <c:pt idx="3">
                  <c:v>2250</c:v>
                </c:pt>
                <c:pt idx="4">
                  <c:v>1300</c:v>
                </c:pt>
                <c:pt idx="5">
                  <c:v>1300</c:v>
                </c:pt>
                <c:pt idx="6">
                  <c:v>2250</c:v>
                </c:pt>
                <c:pt idx="7">
                  <c:v>2250</c:v>
                </c:pt>
                <c:pt idx="8">
                  <c:v>2370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A-462B-A3F8-50206752C4E2}"/>
            </c:ext>
          </c:extLst>
        </c:ser>
        <c:ser>
          <c:idx val="1"/>
          <c:order val="2"/>
          <c:tx>
            <c:v>CG בפועל</c:v>
          </c:tx>
          <c:spPr>
            <a:ln w="28575" cmpd="sng">
              <a:solidFill>
                <a:schemeClr val="tx1"/>
              </a:solidFill>
            </a:ln>
            <a:effectLst/>
          </c:spPr>
          <c:marker>
            <c:symbol val="none"/>
          </c:marker>
          <c:xVal>
            <c:numRef>
              <c:f>נתונים!$U$4:$U$5</c:f>
              <c:numCache>
                <c:formatCode>0.00</c:formatCode>
                <c:ptCount val="2"/>
                <c:pt idx="0">
                  <c:v>0.0015142286300556186</c:v>
                </c:pt>
                <c:pt idx="1">
                  <c:v>0.0012452595585949644</c:v>
                </c:pt>
              </c:numCache>
            </c:numRef>
          </c:xVal>
          <c:yVal>
            <c:numRef>
              <c:f>נתונים!$S$4:$S$5</c:f>
              <c:numCache>
                <c:formatCode>0.00</c:formatCode>
                <c:ptCount val="2"/>
                <c:pt idx="0">
                  <c:v>1851.8999999999999</c:v>
                </c:pt>
                <c:pt idx="1">
                  <c:v>2251.8999999999996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A-462B-A3F8-50206752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-643254569"/>
        <c:axId val="653720065"/>
      </c:scatterChart>
      <c:valAx>
        <c:axId val="-643254569"/>
        <c:scaling>
          <c:orientation val="minMax"/>
          <c:max val="0.2"/>
          <c:min val="-0.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53720065"/>
        <c:crosses val="autoZero"/>
        <c:crossBetween val="midCat"/>
      </c:valAx>
      <c:valAx>
        <c:axId val="653720065"/>
        <c:scaling>
          <c:orientation val="minMax"/>
          <c:max val="2900"/>
          <c:min val="1200"/>
        </c:scaling>
        <c:delete val="0"/>
        <c:axPos val="l"/>
        <c:min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-643254569"/>
        <c:crossesAt val="-150"/>
        <c:crossBetween val="midCat"/>
        <c:majorUnit val="200"/>
        <c:minorUnit val="100"/>
      </c:valAx>
    </c:plotArea>
    <c:legend>
      <c:legendPos val="l"/>
      <c:legendEntry>
        <c:idx val="1"/>
        <c:delete val="1"/>
      </c:legendEntry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rtl="1">
              <a:defRPr/>
            </a:pPr>
            <a:r>
              <a:rPr lang="en-US" u="none" baseline="0"/>
              <a:t>CG</a:t>
            </a:r>
            <a:r>
              <a:rPr lang="he-IL" u="none" baseline="0"/>
              <a:t> אורכי</a:t>
            </a:r>
          </a:p>
        </c:rich>
      </c:tx>
      <c:layout>
        <c:manualLayout>
          <c:xMode val="edge"/>
          <c:yMode val="edge"/>
          <c:x val="0.85275"/>
          <c:y val="0.03775"/>
        </c:manualLayout>
      </c:layout>
      <c:overlay val="1"/>
      <c:spPr>
        <a:solidFill>
          <a:schemeClr val="bg1">
            <a:lumMod val="95000"/>
          </a:schemeClr>
        </a:solidFill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v>LONG CG LIMIT</c:v>
          </c:tx>
          <c:marker>
            <c:symbol val="none"/>
          </c:marker>
          <c:xVal>
            <c:numRef>
              <c:f>נתונים!$W$9:$W$15</c:f>
              <c:numCache>
                <c:formatCode>General</c:formatCode>
                <c:ptCount val="7"/>
                <c:pt idx="0">
                  <c:v>3.23</c:v>
                </c:pt>
                <c:pt idx="1">
                  <c:v>3.407</c:v>
                </c:pt>
                <c:pt idx="2">
                  <c:v>3.49</c:v>
                </c:pt>
                <c:pt idx="3">
                  <c:v>3.498</c:v>
                </c:pt>
                <c:pt idx="4">
                  <c:v>3.17</c:v>
                </c:pt>
                <c:pt idx="5">
                  <c:v>3.17</c:v>
                </c:pt>
                <c:pt idx="6">
                  <c:v>3.23</c:v>
                </c:pt>
              </c:numCache>
            </c:numRef>
          </c:xVal>
          <c:yVal>
            <c:numRef>
              <c:f>נתונים!$X$9:$X$15</c:f>
              <c:numCache>
                <c:formatCode>General</c:formatCode>
                <c:ptCount val="7"/>
                <c:pt idx="0">
                  <c:v>2370</c:v>
                </c:pt>
                <c:pt idx="1">
                  <c:v>2370</c:v>
                </c:pt>
                <c:pt idx="2">
                  <c:v>1750</c:v>
                </c:pt>
                <c:pt idx="3">
                  <c:v>1310</c:v>
                </c:pt>
                <c:pt idx="4">
                  <c:v>1310</c:v>
                </c:pt>
                <c:pt idx="5">
                  <c:v>2000</c:v>
                </c:pt>
                <c:pt idx="6">
                  <c:v>2370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1"/>
          <c:order val="1"/>
          <c:tx>
            <c:v>CG בפועל</c:v>
          </c:tx>
          <c:spPr>
            <a:ln w="28575" cmpd="sng">
              <a:solidFill>
                <a:schemeClr val="tx1"/>
              </a:solidFill>
            </a:ln>
            <a:effectLst/>
          </c:spPr>
          <c:marker>
            <c:symbol val="none"/>
          </c:marker>
          <c:xVal>
            <c:numRef>
              <c:f>נתונים!$T$4:$T$5</c:f>
              <c:numCache>
                <c:formatCode>0.00</c:formatCode>
                <c:ptCount val="2"/>
                <c:pt idx="0">
                  <c:v>3.3516917760138236</c:v>
                </c:pt>
                <c:pt idx="1">
                  <c:v>3.3744828811226077</c:v>
                </c:pt>
              </c:numCache>
            </c:numRef>
          </c:xVal>
          <c:yVal>
            <c:numRef>
              <c:f>נתונים!$S$4:$S$5</c:f>
              <c:numCache>
                <c:formatCode>0.00</c:formatCode>
                <c:ptCount val="2"/>
                <c:pt idx="0">
                  <c:v>1851.8999999999999</c:v>
                </c:pt>
                <c:pt idx="1">
                  <c:v>2251.8999999999996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4-4148-9D70-7C0D9C3325BE}"/>
            </c:ext>
          </c:extLst>
        </c:ser>
        <c:ser>
          <c:idx val="2"/>
          <c:order val="2"/>
          <c:tx>
            <c:v>EXT LONG CG LIMIT</c:v>
          </c:tx>
          <c:spPr>
            <a:ln w="15875" cmpd="sng">
              <a:solidFill>
                <a:srgbClr val="FF0000"/>
              </a:solidFill>
            </a:ln>
            <a:effectLst/>
          </c:spPr>
          <c:marker>
            <c:symbol val="none"/>
          </c:marker>
          <c:xVal>
            <c:numRef>
              <c:f>נתונים!$T$25:$T$30</c:f>
              <c:numCache>
                <c:formatCode>0.00</c:formatCode>
                <c:ptCount val="6"/>
                <c:pt idx="0">
                  <c:v>3.269</c:v>
                </c:pt>
                <c:pt idx="1">
                  <c:v>3.4358255033557046</c:v>
                </c:pt>
                <c:pt idx="2">
                  <c:v>3.492</c:v>
                </c:pt>
                <c:pt idx="3">
                  <c:v>3.17</c:v>
                </c:pt>
                <c:pt idx="4">
                  <c:v>3.17</c:v>
                </c:pt>
                <c:pt idx="5">
                  <c:v>3.269</c:v>
                </c:pt>
              </c:numCache>
            </c:numRef>
          </c:xVal>
          <c:yVal>
            <c:numRef>
              <c:f>נתונים!$U$25:$U$30</c:f>
              <c:numCache>
                <c:formatCode>General</c:formatCode>
                <c:ptCount val="6"/>
                <c:pt idx="0">
                  <c:v>2660</c:v>
                </c:pt>
                <c:pt idx="1">
                  <c:v>2660</c:v>
                </c:pt>
                <c:pt idx="2">
                  <c:v>1310</c:v>
                </c:pt>
                <c:pt idx="3">
                  <c:v>1310</c:v>
                </c:pt>
                <c:pt idx="4">
                  <c:v>2000</c:v>
                </c:pt>
                <c:pt idx="5">
                  <c:v>2660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2-4D10-9CD7-4C04CCF99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-1431502755"/>
        <c:axId val="-917344320"/>
      </c:scatterChart>
      <c:valAx>
        <c:axId val="-1431502755"/>
        <c:scaling>
          <c:orientation val="minMax"/>
          <c:max val="3.55"/>
          <c:min val="3.1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-917344320"/>
        <c:crosses val="autoZero"/>
        <c:crossBetween val="midCat"/>
      </c:valAx>
      <c:valAx>
        <c:axId val="-917344320"/>
        <c:scaling>
          <c:orientation val="minMax"/>
          <c:max val="2900"/>
          <c:min val="1200"/>
        </c:scaling>
        <c:delete val="0"/>
        <c:axPos val="l"/>
        <c:min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-1431502755"/>
        <c:crosses val="autoZero"/>
        <c:crossBetween val="midCat"/>
        <c:majorUnit val="100"/>
        <c:minorUnit val="100"/>
      </c:valAx>
    </c:plotArea>
    <c:legend>
      <c:legendPos val="l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image" Target="../media/image8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47626</xdr:colOff>
      <xdr:row>31</xdr:row>
      <xdr:rowOff>114300</xdr:rowOff>
    </xdr:from>
    <xdr:to>
      <xdr:col>25</xdr:col>
      <xdr:colOff>342901</xdr:colOff>
      <xdr:row>47</xdr:row>
      <xdr:rowOff>114300</xdr:rowOff>
    </xdr:to>
    <xdr:graphicFrame>
      <xdr:nvGraphicFramePr>
        <xdr:cNvPr id="3" name="תרשים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8239125" y="5019675"/>
        <a:ext cx="8524875" cy="30956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2</xdr:col>
      <xdr:colOff>600071</xdr:colOff>
      <xdr:row>22</xdr:row>
      <xdr:rowOff>28572</xdr:rowOff>
    </xdr:from>
    <xdr:to>
      <xdr:col>8</xdr:col>
      <xdr:colOff>57148</xdr:colOff>
      <xdr:row>26</xdr:row>
      <xdr:rowOff>152398</xdr:rowOff>
    </xdr:to>
    <xdr:sp>
      <xdr:nvSpPr>
        <xdr:cNvPr id="4" name="תרשים זרימה: השהיה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6200000">
          <a:off x="1971675" y="3276600"/>
          <a:ext cx="2828925" cy="866775"/>
        </a:xfrm>
        <a:prstGeom prst="flowChartDelay"/>
        <a:noFill/>
        <a:ln w="28575" cap="flat" cmpd="sng" algn="ctr">
          <a:solidFill>
            <a:schemeClr val="tx1"/>
          </a:solidFill>
          <a:prstDash val="solid"/>
          <a:round/>
          <a:headEnd type="none" len="med" w="med"/>
          <a:tailEnd type="none" len="med" w="med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2</xdr:col>
      <xdr:colOff>600076</xdr:colOff>
      <xdr:row>26</xdr:row>
      <xdr:rowOff>161925</xdr:rowOff>
    </xdr:from>
    <xdr:to>
      <xdr:col>8</xdr:col>
      <xdr:colOff>57151</xdr:colOff>
      <xdr:row>33</xdr:row>
      <xdr:rowOff>9525</xdr:rowOff>
    </xdr:to>
    <xdr:sp>
      <xdr:nvSpPr>
        <xdr:cNvPr id="5" name="מלבן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71675" y="4152900"/>
          <a:ext cx="2828925" cy="1133475"/>
        </a:xfrm>
        <a:prstGeom prst="rect"/>
        <a:noFill/>
        <a:ln w="28575" cap="flat" cmpd="sng" algn="ctr">
          <a:solidFill>
            <a:schemeClr val="tx1"/>
          </a:solidFill>
          <a:prstDash val="solid"/>
          <a:round/>
          <a:headEnd type="none" len="med" w="med"/>
          <a:tailEnd type="none" len="med" w="med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indent="0" marL="0" rtl="1"/>
          <a:endParaRPr lang="he-IL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104775</xdr:colOff>
      <xdr:row>45</xdr:row>
      <xdr:rowOff>66675</xdr:rowOff>
    </xdr:from>
    <xdr:to>
      <xdr:col>6</xdr:col>
      <xdr:colOff>209550</xdr:colOff>
      <xdr:row>47</xdr:row>
      <xdr:rowOff>142875</xdr:rowOff>
    </xdr:to>
    <xdr:sp>
      <xdr:nvSpPr>
        <xdr:cNvPr id="6" name="סוגר מסולסל ימני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3848100" y="7648575"/>
          <a:ext cx="104775" cy="495300"/>
        </a:xfrm>
        <a:prstGeom prst="rightBrace"/>
        <a:ln w="12700">
          <a:solidFill>
            <a:srgbClr val="000000"/>
          </a:solidFill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6</xdr:col>
      <xdr:colOff>104775</xdr:colOff>
      <xdr:row>43</xdr:row>
      <xdr:rowOff>57150</xdr:rowOff>
    </xdr:from>
    <xdr:to>
      <xdr:col>6</xdr:col>
      <xdr:colOff>209550</xdr:colOff>
      <xdr:row>44</xdr:row>
      <xdr:rowOff>123825</xdr:rowOff>
    </xdr:to>
    <xdr:sp>
      <xdr:nvSpPr>
        <xdr:cNvPr id="8" name="סוגר מסולסל ימני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flipH="1">
          <a:off x="3848100" y="7219950"/>
          <a:ext cx="104775" cy="257175"/>
        </a:xfrm>
        <a:prstGeom prst="rightBrace"/>
        <a:ln w="12700">
          <a:solidFill>
            <a:srgbClr val="000000"/>
          </a:solidFill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13</xdr:col>
      <xdr:colOff>19050</xdr:colOff>
      <xdr:row>3</xdr:row>
      <xdr:rowOff>104775</xdr:rowOff>
    </xdr:from>
    <xdr:to>
      <xdr:col>25</xdr:col>
      <xdr:colOff>304800</xdr:colOff>
      <xdr:row>31</xdr:row>
      <xdr:rowOff>85725</xdr:rowOff>
    </xdr:to>
    <xdr:grpSp>
      <xdr:nvGrpSpPr>
        <xdr:cNvPr id="10" name="קבוצה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>
        <a:xfrm>
          <a:off x="8210550" y="647700"/>
          <a:ext cx="8515350" cy="4343400"/>
          <a:chOff x="11220078525" y="1228725"/>
          <a:chExt cx="7839075" cy="3694142"/>
        </a:xfrm>
      </xdr:grpSpPr>
      <xdr:graphicFrame>
        <xdr:nvGraphicFramePr>
          <xdr:cNvPr id="2" name="תרשים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11220078525" y="1228725"/>
          <a:ext cx="7839075" cy="3694142"/>
        </xdr:xfrm>
        <a:graphic>
          <a:graphicData uri="http://schemas.openxmlformats.org/drawingml/2006/chart">
            <c:chart xmlns:c="http://schemas.openxmlformats.org/drawingml/2006/chart" r:id="rId2"/>
          </a:graphicData>
        </a:graphic>
      </xdr:graphicFrame>
      <xdr:sp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1227154680" y="2286000"/>
            <a:ext cx="404726" cy="264560"/>
          </a:xfrm>
          <a:prstGeom prst="rect"/>
          <a:solidFill>
            <a:srgbClr val="FFFFFF"/>
          </a:solidFill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horzOverflow="clip" wrap="none" rtlCol="1" anchor="t">
            <a:spAutoFit/>
          </a:bodyPr>
          <a:lstStyle/>
          <a:p>
            <a:pPr algn="r" rtl="1"/>
            <a:r>
              <a:rPr lang="en-US" sz="1100" b="1">
                <a:solidFill>
                  <a:schemeClr val="tx1"/>
                </a:solidFill>
              </a:rPr>
              <a:t>AFT</a:t>
            </a:r>
            <a:endParaRPr lang="he-IL" sz="1100" b="1"/>
          </a:p>
        </xdr:txBody>
      </xdr:sp>
      <xdr:sp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11222125562" y="2266950"/>
            <a:ext cx="461794" cy="264560"/>
          </a:xfrm>
          <a:prstGeom prst="rect"/>
          <a:solidFill>
            <a:srgbClr val="FFFFFF"/>
          </a:solidFill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horzOverflow="clip" wrap="none" rtlCol="1" anchor="t">
            <a:spAutoFit/>
          </a:bodyPr>
          <a:lstStyle/>
          <a:p>
            <a:pPr algn="r" rtl="1"/>
            <a:r>
              <a:rPr lang="en-US" sz="1100" b="1">
                <a:solidFill>
                  <a:schemeClr val="tx1"/>
                </a:solidFill>
              </a:rPr>
              <a:t>FWD</a:t>
            </a:r>
            <a:endParaRPr lang="he-IL" sz="1100" b="1"/>
          </a:p>
        </xdr:txBody>
      </xdr:sp>
    </xdr:grpSp>
    <xdr:clientData/>
  </xdr:twoCellAnchor>
  <xdr:oneCellAnchor>
    <xdr:from>
      <xdr:col>8</xdr:col>
      <xdr:colOff>209550</xdr:colOff>
      <xdr:row>22</xdr:row>
      <xdr:rowOff>123825</xdr:rowOff>
    </xdr:from>
    <xdr:ext cx="1600200" cy="514350"/>
    <xdr:sp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953000" y="3371850"/>
          <a:ext cx="1600200" cy="514350"/>
        </a:xfrm>
        <a:prstGeom prst="rect"/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1" anchor="ctr">
          <a:noAutofit/>
        </a:bodyPr>
        <a:lstStyle/>
        <a:p>
          <a:pPr algn="ctr" rtl="1"/>
          <a:r>
            <a:rPr lang="he-IL" sz="900">
              <a:solidFill>
                <a:schemeClr val="tx1"/>
              </a:solidFill>
            </a:rPr>
            <a:t>תרשים</a:t>
          </a:r>
          <a:r>
            <a:rPr lang="he-IL" sz="900" baseline="0">
              <a:solidFill>
                <a:schemeClr val="tx1"/>
              </a:solidFill>
            </a:rPr>
            <a:t> זה הינו סכימתי בלבד</a:t>
          </a:r>
        </a:p>
        <a:p>
          <a:pPr algn="ctr" rtl="1"/>
          <a:r>
            <a:rPr lang="he-IL" sz="900" baseline="0">
              <a:solidFill>
                <a:schemeClr val="tx1"/>
              </a:solidFill>
            </a:rPr>
            <a:t>שרטוט מדויק יותר ניתן למצוא בלשונית </a:t>
          </a:r>
          <a:r>
            <a:rPr lang="he-IL" sz="900" b="1" baseline="0">
              <a:solidFill>
                <a:schemeClr val="tx1"/>
              </a:solidFill>
            </a:rPr>
            <a:t>תצורות</a:t>
          </a:r>
          <a:endParaRPr lang="he-IL" sz="900" b="1"/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228600</xdr:colOff>
      <xdr:row>1</xdr:row>
      <xdr:rowOff>47625</xdr:rowOff>
    </xdr:to>
    <xdr:pic>
      <xdr:nvPicPr>
        <xdr:cNvPr id="15" name="Picture 11">
          <a:extLst>
            <a:ext uri="{FF2B5EF4-FFF2-40B4-BE49-F238E27FC236}">
              <a16:creationId xmlns:a16="http://schemas.microsoft.com/office/drawing/2014/main" id="{fbd11d36-d067-4c16-ad71-9c749df94388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28600" cy="22860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519772</xdr:colOff>
      <xdr:row>118</xdr:row>
      <xdr:rowOff>114300</xdr:rowOff>
    </xdr:from>
    <xdr:to>
      <xdr:col>9</xdr:col>
      <xdr:colOff>243150</xdr:colOff>
      <xdr:row>130</xdr:row>
      <xdr:rowOff>5390</xdr:rowOff>
    </xdr:to>
    <xdr:grpSp>
      <xdr:nvGrpSpPr>
        <xdr:cNvPr id="151" name="קבוצה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GrpSpPr>
          <a:grpSpLocks/>
        </xdr:cNvGrpSpPr>
      </xdr:nvGrpSpPr>
      <xdr:grpSpPr>
        <a:xfrm>
          <a:off x="6743700" y="21593175"/>
          <a:ext cx="5286375" cy="2076450"/>
          <a:chOff x="11385665625" y="26441400"/>
          <a:chExt cx="5285978" cy="2072315"/>
        </a:xfrm>
      </xdr:grpSpPr>
      <xdr:pic>
        <xdr:nvPicPr>
          <xdr:cNvPr id="152" name="תמונה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PicPr>
            <a:picLocks noChangeAspect="1"/>
          </xdr:cNvPicPr>
        </xdr:nvPicPr>
        <xdr:blipFill>
          <a:blip r:embed="rId1"/>
          <a:srcRect l="0" t="10821" r="0" b="0"/>
          <a:stretch>
            <a:fillRect/>
          </a:stretch>
        </xdr:blipFill>
        <xdr:spPr>
          <a:xfrm>
            <a:off x="11385665625" y="26441400"/>
            <a:ext cx="5224725" cy="1804972"/>
          </a:xfrm>
          <a:prstGeom prst="rect"/>
        </xdr:spPr>
      </xdr:pic>
      <xdr:sp>
        <xdr:nvSpPr>
          <xdr:cNvPr id="153" name="מלבן מעוגל 152">
            <a:extLst>
              <a:ext uri="{FF2B5EF4-FFF2-40B4-BE49-F238E27FC236}">
                <a16:creationId xmlns:a16="http://schemas.microsoft.com/office/drawing/2014/main" id="{00000000-0008-0000-0200-000099000000}"/>
              </a:ext>
            </a:extLst>
          </xdr:cNvPr>
          <xdr:cNvSpPr/>
        </xdr:nvSpPr>
        <xdr:spPr>
          <a:xfrm>
            <a:off x="11386946378" y="28081667"/>
            <a:ext cx="2088232" cy="432048"/>
          </a:xfrm>
          <a:prstGeom prst="roundRect"/>
          <a:pattFill prst="lgGrid">
            <a:fgClr>
              <a:schemeClr val="tx1"/>
            </a:fgClr>
            <a:bgClr>
              <a:schemeClr val="bg1"/>
            </a:bgClr>
          </a:pattFill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grpSp>
        <xdr:nvGrpSpPr>
          <xdr:cNvPr id="154" name="קבוצה 153">
            <a:extLst>
              <a:ext uri="{FF2B5EF4-FFF2-40B4-BE49-F238E27FC236}">
                <a16:creationId xmlns:a16="http://schemas.microsoft.com/office/drawing/2014/main" id="{00000000-0008-0000-0200-00009a000000}"/>
              </a:ext>
            </a:extLst>
          </xdr:cNvPr>
          <xdr:cNvGrpSpPr>
            <a:grpSpLocks/>
          </xdr:cNvGrpSpPr>
        </xdr:nvGrpSpPr>
        <xdr:grpSpPr>
          <a:xfrm>
            <a:off x="11389575278" y="27161481"/>
            <a:ext cx="587331" cy="1051429"/>
            <a:chOff x="3342231" y="3429001"/>
            <a:chExt cx="587331" cy="1051429"/>
          </a:xfrm>
        </xdr:grpSpPr>
        <xdr:cxnSp>
          <xdr:nvCxnSpPr>
            <xdr:cNvPr id="163" name="מחבר ישר 162">
              <a:extLst>
                <a:ext uri="{FF2B5EF4-FFF2-40B4-BE49-F238E27FC236}">
                  <a16:creationId xmlns:a16="http://schemas.microsoft.com/office/drawing/2014/main" id="{00000000-0008-0000-0200-0000a3000000}"/>
                </a:ext>
              </a:extLst>
            </xdr:cNvPr>
            <xdr:cNvCxnSpPr/>
          </xdr:nvCxnSpPr>
          <xdr:spPr>
            <a:xfrm flipH="1" flipV="1">
              <a:off x="3635897" y="3429003"/>
              <a:ext cx="293665" cy="547371"/>
            </a:xfrm>
            <a:prstGeom prst="line"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64" name="מחבר ישר 163">
              <a:extLst>
                <a:ext uri="{FF2B5EF4-FFF2-40B4-BE49-F238E27FC236}">
                  <a16:creationId xmlns:a16="http://schemas.microsoft.com/office/drawing/2014/main" id="{00000000-0008-0000-0200-0000a4000000}"/>
                </a:ext>
              </a:extLst>
            </xdr:cNvPr>
            <xdr:cNvCxnSpPr/>
          </xdr:nvCxnSpPr>
          <xdr:spPr>
            <a:xfrm flipV="1">
              <a:off x="3342231" y="3429001"/>
              <a:ext cx="293665" cy="547373"/>
            </a:xfrm>
            <a:prstGeom prst="line"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65" name="מחבר ישר 164">
              <a:extLst>
                <a:ext uri="{FF2B5EF4-FFF2-40B4-BE49-F238E27FC236}">
                  <a16:creationId xmlns:a16="http://schemas.microsoft.com/office/drawing/2014/main" id="{00000000-0008-0000-0200-0000a5000000}"/>
                </a:ext>
              </a:extLst>
            </xdr:cNvPr>
            <xdr:cNvCxnSpPr/>
          </xdr:nvCxnSpPr>
          <xdr:spPr>
            <a:xfrm flipV="1">
              <a:off x="3489063" y="3429002"/>
              <a:ext cx="146833" cy="547372"/>
            </a:xfrm>
            <a:prstGeom prst="line"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66" name="מחבר ישר 165">
              <a:extLst>
                <a:ext uri="{FF2B5EF4-FFF2-40B4-BE49-F238E27FC236}">
                  <a16:creationId xmlns:a16="http://schemas.microsoft.com/office/drawing/2014/main" id="{00000000-0008-0000-0200-0000a6000000}"/>
                </a:ext>
              </a:extLst>
            </xdr:cNvPr>
            <xdr:cNvCxnSpPr/>
          </xdr:nvCxnSpPr>
          <xdr:spPr>
            <a:xfrm flipH="1" flipV="1">
              <a:off x="3635897" y="3429002"/>
              <a:ext cx="69191" cy="547370"/>
            </a:xfrm>
            <a:prstGeom prst="line"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67" name="תרשים זרימה: השהיה 166">
              <a:extLst>
                <a:ext uri="{FF2B5EF4-FFF2-40B4-BE49-F238E27FC236}">
                  <a16:creationId xmlns:a16="http://schemas.microsoft.com/office/drawing/2014/main" id="{00000000-0008-0000-0200-0000a7000000}"/>
                </a:ext>
              </a:extLst>
            </xdr:cNvPr>
            <xdr:cNvSpPr/>
          </xdr:nvSpPr>
          <xdr:spPr>
            <a:xfrm rot="5400000">
              <a:off x="3383868" y="3934737"/>
              <a:ext cx="504056" cy="587329"/>
            </a:xfrm>
            <a:prstGeom prst="flowChartDelay"/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 w="6350">
              <a:solidFill>
                <a:schemeClr val="tx1"/>
              </a:solidFill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vert270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800" b="1">
                  <a:solidFill>
                    <a:schemeClr val="tx1"/>
                  </a:solidFill>
                </a:rPr>
                <a:t>BAMBI</a:t>
              </a:r>
              <a:endParaRPr lang="he-IL" sz="800" b="1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55" name="קבוצה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GrpSpPr>
            <a:grpSpLocks/>
          </xdr:cNvGrpSpPr>
        </xdr:nvGrpSpPr>
        <xdr:grpSpPr>
          <a:xfrm>
            <a:off x="11385751236" y="27575928"/>
            <a:ext cx="399767" cy="399767"/>
            <a:chOff x="6804248" y="2708920"/>
            <a:chExt cx="720080" cy="720080"/>
          </a:xfrm>
        </xdr:grpSpPr>
        <xdr:sp>
          <xdr:nvSpPr>
            <xdr:cNvPr id="160" name="אליפסה 159">
              <a:extLst>
                <a:ext uri="{FF2B5EF4-FFF2-40B4-BE49-F238E27FC236}">
                  <a16:creationId xmlns:a16="http://schemas.microsoft.com/office/drawing/2014/main" id="{00000000-0008-0000-0200-0000a0000000}"/>
                </a:ext>
              </a:extLst>
            </xdr:cNvPr>
            <xdr:cNvSpPr/>
          </xdr:nvSpPr>
          <xdr:spPr>
            <a:xfrm>
              <a:off x="6804248" y="2708920"/>
              <a:ext cx="720080" cy="720080"/>
            </a:xfrm>
            <a:prstGeom prst="ellipse"/>
            <a:solidFill>
              <a:schemeClr val="bg1">
                <a:lumMod val="65000"/>
              </a:schemeClr>
            </a:solidFill>
            <a:ln w="6350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sp>
          <xdr:nvSpPr>
            <xdr:cNvPr id="161" name="אליפסה 160">
              <a:extLst>
                <a:ext uri="{FF2B5EF4-FFF2-40B4-BE49-F238E27FC236}">
                  <a16:creationId xmlns:a16="http://schemas.microsoft.com/office/drawing/2014/main" id="{00000000-0008-0000-0200-0000a1000000}"/>
                </a:ext>
              </a:extLst>
            </xdr:cNvPr>
            <xdr:cNvSpPr/>
          </xdr:nvSpPr>
          <xdr:spPr>
            <a:xfrm>
              <a:off x="7092280" y="3068960"/>
              <a:ext cx="288032" cy="288032"/>
            </a:xfrm>
            <a:prstGeom prst="ellipse"/>
            <a:solidFill>
              <a:schemeClr val="tx2">
                <a:lumMod val="75000"/>
              </a:schemeClr>
            </a:solidFill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sp>
          <xdr:nvSpPr>
            <xdr:cNvPr id="162" name="אליפסה 161">
              <a:extLst>
                <a:ext uri="{FF2B5EF4-FFF2-40B4-BE49-F238E27FC236}">
                  <a16:creationId xmlns:a16="http://schemas.microsoft.com/office/drawing/2014/main" id="{00000000-0008-0000-0200-0000a2000000}"/>
                </a:ext>
              </a:extLst>
            </xdr:cNvPr>
            <xdr:cNvSpPr/>
          </xdr:nvSpPr>
          <xdr:spPr>
            <a:xfrm>
              <a:off x="6876256" y="3068960"/>
              <a:ext cx="144016" cy="144016"/>
            </a:xfrm>
            <a:prstGeom prst="ellipse"/>
            <a:solidFill>
              <a:schemeClr val="tx2">
                <a:lumMod val="75000"/>
              </a:schemeClr>
            </a:solidFill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</xdr:grpSp>
      <xdr:grpSp>
        <xdr:nvGrpSpPr>
          <xdr:cNvPr id="156" name="קבוצה 155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GrpSpPr>
            <a:grpSpLocks/>
          </xdr:cNvGrpSpPr>
        </xdr:nvGrpSpPr>
        <xdr:grpSpPr>
          <a:xfrm>
            <a:off x="11390172100" y="27667318"/>
            <a:ext cx="779503" cy="440933"/>
            <a:chOff x="2617499" y="2731961"/>
            <a:chExt cx="1018397" cy="576066"/>
          </a:xfrm>
        </xdr:grpSpPr>
        <xdr:sp>
          <xdr:nvSpPr>
            <xdr:cNvPr id="157" name="מלבן 156">
              <a:extLst>
                <a:ext uri="{FF2B5EF4-FFF2-40B4-BE49-F238E27FC236}">
                  <a16:creationId xmlns:a16="http://schemas.microsoft.com/office/drawing/2014/main" id="{00000000-0008-0000-0200-00009d000000}"/>
                </a:ext>
              </a:extLst>
            </xdr:cNvPr>
            <xdr:cNvSpPr/>
          </xdr:nvSpPr>
          <xdr:spPr>
            <a:xfrm>
              <a:off x="2688620" y="2733643"/>
              <a:ext cx="695248" cy="574384"/>
            </a:xfrm>
            <a:prstGeom prst="rect"/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 w="6350">
              <a:solidFill>
                <a:schemeClr val="tx1"/>
              </a:solidFill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sp>
          <xdr:nvSpPr>
            <xdr:cNvPr id="158" name="תרשים זרימה: השהיה 157">
              <a:extLst>
                <a:ext uri="{FF2B5EF4-FFF2-40B4-BE49-F238E27FC236}">
                  <a16:creationId xmlns:a16="http://schemas.microsoft.com/office/drawing/2014/main" id="{00000000-0008-0000-0200-00009e000000}"/>
                </a:ext>
              </a:extLst>
            </xdr:cNvPr>
            <xdr:cNvSpPr/>
          </xdr:nvSpPr>
          <xdr:spPr>
            <a:xfrm>
              <a:off x="3131840" y="2731962"/>
              <a:ext cx="504056" cy="576065"/>
            </a:xfrm>
            <a:prstGeom prst="flowChartDelay"/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 w="6350">
              <a:solidFill>
                <a:schemeClr val="tx1"/>
              </a:solidFill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sp>
          <xdr:nvSpPr>
            <xdr:cNvPr id="159" name="אליפסה 158">
              <a:extLst>
                <a:ext uri="{FF2B5EF4-FFF2-40B4-BE49-F238E27FC236}">
                  <a16:creationId xmlns:a16="http://schemas.microsoft.com/office/drawing/2014/main" id="{00000000-0008-0000-0200-00009f000000}"/>
                </a:ext>
              </a:extLst>
            </xdr:cNvPr>
            <xdr:cNvSpPr/>
          </xdr:nvSpPr>
          <xdr:spPr>
            <a:xfrm>
              <a:off x="2617499" y="2731961"/>
              <a:ext cx="154301" cy="576065"/>
            </a:xfrm>
            <a:prstGeom prst="ellipse"/>
            <a:solidFill>
              <a:srgbClr val="FFFF00"/>
            </a:solidFill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</xdr:grpSp>
    </xdr:grpSp>
    <xdr:clientData/>
  </xdr:twoCellAnchor>
  <xdr:twoCellAnchor>
    <xdr:from>
      <xdr:col>16366</xdr:col>
      <xdr:colOff>628650</xdr:colOff>
      <xdr:row>2</xdr:row>
      <xdr:rowOff>67022</xdr:rowOff>
    </xdr:from>
    <xdr:to>
      <xdr:col>16375</xdr:col>
      <xdr:colOff>600075</xdr:colOff>
      <xdr:row>10</xdr:row>
      <xdr:rowOff>19300</xdr:rowOff>
    </xdr:to>
    <xdr:grpSp>
      <xdr:nvGrpSpPr>
        <xdr:cNvPr id="34" name="קבוצה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>
          <a:grpSpLocks/>
        </xdr:cNvGrpSpPr>
      </xdr:nvGrpSpPr>
      <xdr:grpSpPr>
        <a:xfrm>
          <a:off x="2147483647" y="447675"/>
          <a:ext cx="6229350" cy="1419225"/>
          <a:chOff x="2981325" y="2719436"/>
          <a:chExt cx="6229350" cy="1419128"/>
        </a:xfrm>
      </xdr:grpSpPr>
      <xdr:pic>
        <xdr:nvPicPr>
          <xdr:cNvPr id="35" name="Picture 2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981325" y="2719436"/>
            <a:ext cx="6229350" cy="1419128"/>
          </a:xfrm>
          <a:prstGeom prst="rect"/>
        </xdr:spPr>
      </xdr:pic>
      <xdr:pic>
        <xdr:nvPicPr>
          <xdr:cNvPr id="36" name="Picture 2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PicPr>
            <a:picLocks noChangeAspect="1"/>
          </xdr:cNvPicPr>
        </xdr:nvPicPr>
        <xdr:blipFill>
          <a:blip r:embed="rId2"/>
          <a:srcRect l="48219" t="34866" r="42970" b="37013"/>
          <a:stretch>
            <a:fillRect/>
          </a:stretch>
        </xdr:blipFill>
        <xdr:spPr>
          <a:xfrm rot="10800000">
            <a:off x="5020888" y="3229494"/>
            <a:ext cx="548640" cy="399012"/>
          </a:xfrm>
          <a:prstGeom prst="rect"/>
        </xdr:spPr>
      </xdr:pic>
      <xdr:sp>
        <xdr:nvSpPr>
          <xdr:cNvPr id="37" name="מלבן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5278582" y="3742220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2</a:t>
            </a:r>
          </a:p>
        </xdr:txBody>
      </xdr:sp>
      <xdr:sp>
        <xdr:nvSpPr>
          <xdr:cNvPr id="38" name="מלבן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6120937" y="2946969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3</a:t>
            </a:r>
          </a:p>
        </xdr:txBody>
      </xdr:sp>
      <xdr:sp>
        <xdr:nvSpPr>
          <xdr:cNvPr id="39" name="מלבן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6120937" y="3750691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4</a:t>
            </a:r>
          </a:p>
        </xdr:txBody>
      </xdr:sp>
      <xdr:sp>
        <xdr:nvSpPr>
          <xdr:cNvPr id="40" name="מלבן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6849685" y="2946968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5</a:t>
            </a:r>
          </a:p>
        </xdr:txBody>
      </xdr:sp>
      <xdr:sp>
        <xdr:nvSpPr>
          <xdr:cNvPr id="41" name="מלבן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6849685" y="3341716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6</a:t>
            </a:r>
          </a:p>
        </xdr:txBody>
      </xdr:sp>
      <xdr:sp>
        <xdr:nvSpPr>
          <xdr:cNvPr id="42" name="מלבן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>
          <a:xfrm>
            <a:off x="6849685" y="3750691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7</a:t>
            </a:r>
          </a:p>
        </xdr:txBody>
      </xdr:sp>
      <xdr:sp>
        <xdr:nvSpPr>
          <xdr:cNvPr id="43" name="מלבן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5278582" y="2942865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1</a:t>
            </a:r>
          </a:p>
        </xdr:txBody>
      </xdr:sp>
    </xdr:grpSp>
    <xdr:clientData/>
  </xdr:twoCellAnchor>
  <xdr:twoCellAnchor editAs="oneCell">
    <xdr:from>
      <xdr:col>6</xdr:col>
      <xdr:colOff>19050</xdr:colOff>
      <xdr:row>53</xdr:row>
      <xdr:rowOff>19050</xdr:rowOff>
    </xdr:from>
    <xdr:to>
      <xdr:col>9</xdr:col>
      <xdr:colOff>370823</xdr:colOff>
      <xdr:row>64</xdr:row>
      <xdr:rowOff>47372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34200" y="9686925"/>
          <a:ext cx="5219700" cy="2028825"/>
        </a:xfrm>
        <a:prstGeom prst="rect"/>
      </xdr:spPr>
    </xdr:pic>
    <xdr:clientData/>
  </xdr:twoCellAnchor>
  <xdr:twoCellAnchor editAs="oneCell">
    <xdr:from>
      <xdr:col>6</xdr:col>
      <xdr:colOff>19050</xdr:colOff>
      <xdr:row>27</xdr:row>
      <xdr:rowOff>0</xdr:rowOff>
    </xdr:from>
    <xdr:to>
      <xdr:col>9</xdr:col>
      <xdr:colOff>376500</xdr:colOff>
      <xdr:row>38</xdr:row>
      <xdr:rowOff>23797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34200" y="4933950"/>
          <a:ext cx="5229225" cy="2019300"/>
        </a:xfrm>
        <a:prstGeom prst="rect"/>
      </xdr:spPr>
    </xdr:pic>
    <xdr:clientData/>
  </xdr:twoCellAnchor>
  <xdr:twoCellAnchor editAs="oneCell">
    <xdr:from>
      <xdr:col>6</xdr:col>
      <xdr:colOff>19050</xdr:colOff>
      <xdr:row>14</xdr:row>
      <xdr:rowOff>9525</xdr:rowOff>
    </xdr:from>
    <xdr:to>
      <xdr:col>9</xdr:col>
      <xdr:colOff>376500</xdr:colOff>
      <xdr:row>25</xdr:row>
      <xdr:rowOff>33322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34200" y="2581275"/>
          <a:ext cx="5229225" cy="2019300"/>
        </a:xfrm>
        <a:prstGeom prst="rect"/>
      </xdr:spPr>
    </xdr:pic>
    <xdr:clientData/>
  </xdr:twoCellAnchor>
  <xdr:twoCellAnchor editAs="oneCell">
    <xdr:from>
      <xdr:col>6</xdr:col>
      <xdr:colOff>19050</xdr:colOff>
      <xdr:row>1</xdr:row>
      <xdr:rowOff>9525</xdr:rowOff>
    </xdr:from>
    <xdr:to>
      <xdr:col>9</xdr:col>
      <xdr:colOff>376500</xdr:colOff>
      <xdr:row>12</xdr:row>
      <xdr:rowOff>14272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4200" y="200025"/>
          <a:ext cx="5229225" cy="2019300"/>
        </a:xfrm>
        <a:prstGeom prst="rect"/>
      </xdr:spPr>
    </xdr:pic>
    <xdr:clientData/>
  </xdr:twoCellAnchor>
  <xdr:twoCellAnchor editAs="oneCell">
    <xdr:from>
      <xdr:col>6</xdr:col>
      <xdr:colOff>19050</xdr:colOff>
      <xdr:row>66</xdr:row>
      <xdr:rowOff>19050</xdr:rowOff>
    </xdr:from>
    <xdr:to>
      <xdr:col>9</xdr:col>
      <xdr:colOff>376500</xdr:colOff>
      <xdr:row>77</xdr:row>
      <xdr:rowOff>42847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34200" y="12049125"/>
          <a:ext cx="5229225" cy="2019300"/>
        </a:xfrm>
        <a:prstGeom prst="rect"/>
      </xdr:spPr>
    </xdr:pic>
    <xdr:clientData/>
  </xdr:twoCellAnchor>
  <xdr:twoCellAnchor editAs="oneCell">
    <xdr:from>
      <xdr:col>6</xdr:col>
      <xdr:colOff>19050</xdr:colOff>
      <xdr:row>40</xdr:row>
      <xdr:rowOff>19050</xdr:rowOff>
    </xdr:from>
    <xdr:to>
      <xdr:col>9</xdr:col>
      <xdr:colOff>376500</xdr:colOff>
      <xdr:row>51</xdr:row>
      <xdr:rowOff>42847</xdr:rowOff>
    </xdr:to>
    <xdr:pic>
      <xdr:nvPicPr>
        <xdr:cNvPr id="80" name="תמונה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34200" y="7324725"/>
          <a:ext cx="5229225" cy="2019300"/>
        </a:xfrm>
        <a:prstGeom prst="rect"/>
      </xdr:spPr>
    </xdr:pic>
    <xdr:clientData/>
  </xdr:twoCellAnchor>
  <xdr:twoCellAnchor editAs="oneCell">
    <xdr:from>
      <xdr:col>6</xdr:col>
      <xdr:colOff>9525</xdr:colOff>
      <xdr:row>105</xdr:row>
      <xdr:rowOff>19050</xdr:rowOff>
    </xdr:from>
    <xdr:to>
      <xdr:col>9</xdr:col>
      <xdr:colOff>366975</xdr:colOff>
      <xdr:row>116</xdr:row>
      <xdr:rowOff>42847</xdr:rowOff>
    </xdr:to>
    <xdr:pic>
      <xdr:nvPicPr>
        <xdr:cNvPr id="18" name="תמונה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24675" y="19135725"/>
          <a:ext cx="5229225" cy="2019300"/>
        </a:xfrm>
        <a:prstGeom prst="rect"/>
      </xdr:spPr>
    </xdr:pic>
    <xdr:clientData/>
  </xdr:twoCellAnchor>
  <xdr:twoCellAnchor editAs="oneCell">
    <xdr:from>
      <xdr:col>6</xdr:col>
      <xdr:colOff>9525</xdr:colOff>
      <xdr:row>92</xdr:row>
      <xdr:rowOff>19050</xdr:rowOff>
    </xdr:from>
    <xdr:to>
      <xdr:col>9</xdr:col>
      <xdr:colOff>366975</xdr:colOff>
      <xdr:row>103</xdr:row>
      <xdr:rowOff>42847</xdr:rowOff>
    </xdr:to>
    <xdr:pic>
      <xdr:nvPicPr>
        <xdr:cNvPr id="19" name="תמונה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24675" y="16773525"/>
          <a:ext cx="5229225" cy="2019300"/>
        </a:xfrm>
        <a:prstGeom prst="rect"/>
      </xdr:spPr>
    </xdr:pic>
    <xdr:clientData/>
  </xdr:twoCellAnchor>
  <xdr:twoCellAnchor editAs="oneCell">
    <xdr:from>
      <xdr:col>6</xdr:col>
      <xdr:colOff>9525</xdr:colOff>
      <xdr:row>79</xdr:row>
      <xdr:rowOff>19050</xdr:rowOff>
    </xdr:from>
    <xdr:to>
      <xdr:col>9</xdr:col>
      <xdr:colOff>366975</xdr:colOff>
      <xdr:row>90</xdr:row>
      <xdr:rowOff>42847</xdr:rowOff>
    </xdr:to>
    <xdr:pic>
      <xdr:nvPicPr>
        <xdr:cNvPr id="20" name="תמונה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4675" y="14411325"/>
          <a:ext cx="5229225" cy="2019300"/>
        </a:xfrm>
        <a:prstGeom prst="rect"/>
      </xdr:spPr>
    </xdr:pic>
    <xdr:clientData/>
  </xdr:twoCellAnchor>
  <xdr:twoCellAnchor>
    <xdr:from>
      <xdr:col>8</xdr:col>
      <xdr:colOff>628650</xdr:colOff>
      <xdr:row>8</xdr:row>
      <xdr:rowOff>76199</xdr:rowOff>
    </xdr:from>
    <xdr:to>
      <xdr:col>9</xdr:col>
      <xdr:colOff>529580</xdr:colOff>
      <xdr:row>11</xdr:row>
      <xdr:rowOff>110479</xdr:rowOff>
    </xdr:to>
    <xdr:grpSp>
      <xdr:nvGrpSpPr>
        <xdr:cNvPr id="70" name="קבוצה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GrpSpPr>
          <a:grpSpLocks/>
        </xdr:cNvGrpSpPr>
      </xdr:nvGrpSpPr>
      <xdr:grpSpPr>
        <a:xfrm>
          <a:off x="11715750" y="1543050"/>
          <a:ext cx="600075" cy="600075"/>
          <a:chOff x="6804248" y="2708920"/>
          <a:chExt cx="720080" cy="720080"/>
        </a:xfrm>
      </xdr:grpSpPr>
      <xdr:sp>
        <xdr:nvSpPr>
          <xdr:cNvPr id="87" name="אליפסה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8" name="אליפסה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9" name="אליפסה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9</xdr:col>
      <xdr:colOff>66675</xdr:colOff>
      <xdr:row>5</xdr:row>
      <xdr:rowOff>20103</xdr:rowOff>
    </xdr:from>
    <xdr:to>
      <xdr:col>9</xdr:col>
      <xdr:colOff>466442</xdr:colOff>
      <xdr:row>7</xdr:row>
      <xdr:rowOff>57920</xdr:rowOff>
    </xdr:to>
    <xdr:grpSp>
      <xdr:nvGrpSpPr>
        <xdr:cNvPr id="71" name="קבוצה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GrpSpPr>
          <a:grpSpLocks/>
        </xdr:cNvGrpSpPr>
      </xdr:nvGrpSpPr>
      <xdr:grpSpPr>
        <a:xfrm>
          <a:off x="11849100" y="942975"/>
          <a:ext cx="400050" cy="400050"/>
          <a:chOff x="6804248" y="2708920"/>
          <a:chExt cx="720080" cy="720080"/>
        </a:xfrm>
      </xdr:grpSpPr>
      <xdr:sp>
        <xdr:nvSpPr>
          <xdr:cNvPr id="84" name="אליפסה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5" name="אליפסה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6" name="אליפסה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6</xdr:col>
      <xdr:colOff>209550</xdr:colOff>
      <xdr:row>9</xdr:row>
      <xdr:rowOff>35293</xdr:rowOff>
    </xdr:from>
    <xdr:to>
      <xdr:col>6</xdr:col>
      <xdr:colOff>989053</xdr:colOff>
      <xdr:row>11</xdr:row>
      <xdr:rowOff>114276</xdr:rowOff>
    </xdr:to>
    <xdr:grpSp>
      <xdr:nvGrpSpPr>
        <xdr:cNvPr id="72" name="קבוצה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>
          <a:grpSpLocks/>
        </xdr:cNvGrpSpPr>
      </xdr:nvGrpSpPr>
      <xdr:grpSpPr>
        <a:xfrm>
          <a:off x="7124700" y="1704975"/>
          <a:ext cx="781050" cy="438150"/>
          <a:chOff x="2617499" y="2731961"/>
          <a:chExt cx="1018397" cy="576066"/>
        </a:xfrm>
      </xdr:grpSpPr>
      <xdr:sp>
        <xdr:nvSpPr>
          <xdr:cNvPr id="81" name="מלבן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SpPr/>
        </xdr:nvSpPr>
        <xdr:spPr>
          <a:xfrm>
            <a:off x="2688620" y="2733643"/>
            <a:ext cx="695248" cy="574384"/>
          </a:xfrm>
          <a:prstGeom prst="rect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2" name="תרשים זרימה: השהיה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/>
        </xdr:nvSpPr>
        <xdr:spPr>
          <a:xfrm>
            <a:off x="3131840" y="2731962"/>
            <a:ext cx="504056" cy="576065"/>
          </a:xfrm>
          <a:prstGeom prst="flowChartDelay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83" name="אליפסה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2617499" y="2731961"/>
            <a:ext cx="154301" cy="576065"/>
          </a:xfrm>
          <a:prstGeom prst="ellipse"/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6</xdr:col>
      <xdr:colOff>1731915</xdr:colOff>
      <xdr:row>76</xdr:row>
      <xdr:rowOff>116267</xdr:rowOff>
    </xdr:from>
    <xdr:to>
      <xdr:col>7</xdr:col>
      <xdr:colOff>343522</xdr:colOff>
      <xdr:row>79</xdr:row>
      <xdr:rowOff>5390</xdr:rowOff>
    </xdr:to>
    <xdr:sp>
      <xdr:nvSpPr>
        <xdr:cNvPr id="73" name="מלבן מעוגל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8648700" y="13963650"/>
          <a:ext cx="2085975" cy="428625"/>
        </a:xfrm>
        <a:prstGeom prst="roundRect"/>
        <a:pattFill prst="lgGrid">
          <a:fgClr>
            <a:schemeClr val="tx1"/>
          </a:fgClr>
          <a:bgClr>
            <a:schemeClr val="bg1"/>
          </a:bgClr>
        </a:patt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he-IL"/>
        </a:p>
      </xdr:txBody>
    </xdr:sp>
    <xdr:clientData/>
  </xdr:twoCellAnchor>
  <xdr:twoCellAnchor>
    <xdr:from>
      <xdr:col>6</xdr:col>
      <xdr:colOff>603916</xdr:colOff>
      <xdr:row>70</xdr:row>
      <xdr:rowOff>100956</xdr:rowOff>
    </xdr:from>
    <xdr:to>
      <xdr:col>6</xdr:col>
      <xdr:colOff>1191247</xdr:colOff>
      <xdr:row>76</xdr:row>
      <xdr:rowOff>66535</xdr:rowOff>
    </xdr:to>
    <xdr:grpSp>
      <xdr:nvGrpSpPr>
        <xdr:cNvPr id="74" name="קבוצה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>
          <a:grpSpLocks/>
        </xdr:cNvGrpSpPr>
      </xdr:nvGrpSpPr>
      <xdr:grpSpPr>
        <a:xfrm>
          <a:off x="7515225" y="12868275"/>
          <a:ext cx="590550" cy="1047750"/>
          <a:chOff x="3342231" y="3429001"/>
          <a:chExt cx="587331" cy="1051429"/>
        </a:xfrm>
      </xdr:grpSpPr>
      <xdr:cxnSp>
        <xdr:nvCxnSpPr>
          <xdr:cNvPr id="75" name="מחבר ישר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CxnSpPr/>
        </xdr:nvCxnSpPr>
        <xdr:spPr>
          <a:xfrm flipH="1" flipV="1">
            <a:off x="3635897" y="3429003"/>
            <a:ext cx="293665" cy="547371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76" name="מחבר ישר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CxnSpPr/>
        </xdr:nvCxnSpPr>
        <xdr:spPr>
          <a:xfrm flipV="1">
            <a:off x="3342231" y="3429001"/>
            <a:ext cx="293665" cy="547373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77" name="מחבר ישר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CxnSpPr/>
        </xdr:nvCxnSpPr>
        <xdr:spPr>
          <a:xfrm flipV="1">
            <a:off x="3489063" y="3429002"/>
            <a:ext cx="146833" cy="547372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78" name="מחבר ישר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CxnSpPr/>
        </xdr:nvCxnSpPr>
        <xdr:spPr>
          <a:xfrm flipH="1" flipV="1">
            <a:off x="3635897" y="3429002"/>
            <a:ext cx="69191" cy="547370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79" name="תרשים זרימה: השהיה 78">
            <a:extLst>
              <a:ext uri="{FF2B5EF4-FFF2-40B4-BE49-F238E27FC236}">
                <a16:creationId xmlns:a16="http://schemas.microsoft.com/office/drawing/2014/main" id="{00000000-0008-0000-0200-00004f000000}"/>
              </a:ext>
            </a:extLst>
          </xdr:cNvPr>
          <xdr:cNvSpPr/>
        </xdr:nvSpPr>
        <xdr:spPr>
          <a:xfrm rot="5400000">
            <a:off x="3383868" y="3934737"/>
            <a:ext cx="504056" cy="587329"/>
          </a:xfrm>
          <a:prstGeom prst="flowChartDelay"/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vert270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800" b="1">
                <a:solidFill>
                  <a:schemeClr val="tx1"/>
                </a:solidFill>
              </a:rPr>
              <a:t>BAMBI</a:t>
            </a:r>
            <a:endParaRPr lang="he-IL" sz="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</xdr:col>
      <xdr:colOff>624830</xdr:colOff>
      <xdr:row>21</xdr:row>
      <xdr:rowOff>152399</xdr:rowOff>
    </xdr:from>
    <xdr:to>
      <xdr:col>9</xdr:col>
      <xdr:colOff>525760</xdr:colOff>
      <xdr:row>25</xdr:row>
      <xdr:rowOff>24754</xdr:rowOff>
    </xdr:to>
    <xdr:grpSp>
      <xdr:nvGrpSpPr>
        <xdr:cNvPr id="90" name="קבוצה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>
          <a:grpSpLocks/>
        </xdr:cNvGrpSpPr>
      </xdr:nvGrpSpPr>
      <xdr:grpSpPr>
        <a:xfrm>
          <a:off x="11715750" y="4000500"/>
          <a:ext cx="600075" cy="600075"/>
          <a:chOff x="6804248" y="2708920"/>
          <a:chExt cx="720080" cy="720080"/>
        </a:xfrm>
      </xdr:grpSpPr>
      <xdr:sp>
        <xdr:nvSpPr>
          <xdr:cNvPr id="91" name="אליפסה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92" name="אליפסה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93" name="אליפסה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9</xdr:col>
      <xdr:colOff>62855</xdr:colOff>
      <xdr:row>18</xdr:row>
      <xdr:rowOff>96303</xdr:rowOff>
    </xdr:from>
    <xdr:to>
      <xdr:col>9</xdr:col>
      <xdr:colOff>462622</xdr:colOff>
      <xdr:row>20</xdr:row>
      <xdr:rowOff>134120</xdr:rowOff>
    </xdr:to>
    <xdr:grpSp>
      <xdr:nvGrpSpPr>
        <xdr:cNvPr id="94" name="קבוצה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>
          <a:grpSpLocks/>
        </xdr:cNvGrpSpPr>
      </xdr:nvGrpSpPr>
      <xdr:grpSpPr>
        <a:xfrm>
          <a:off x="11849100" y="3400425"/>
          <a:ext cx="400050" cy="400050"/>
          <a:chOff x="6804248" y="2708920"/>
          <a:chExt cx="720080" cy="720080"/>
        </a:xfrm>
      </xdr:grpSpPr>
      <xdr:sp>
        <xdr:nvSpPr>
          <xdr:cNvPr id="95" name="אליפסה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96" name="אליפסה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97" name="אליפסה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6</xdr:col>
      <xdr:colOff>205730</xdr:colOff>
      <xdr:row>22</xdr:row>
      <xdr:rowOff>130543</xdr:rowOff>
    </xdr:from>
    <xdr:to>
      <xdr:col>6</xdr:col>
      <xdr:colOff>985233</xdr:colOff>
      <xdr:row>25</xdr:row>
      <xdr:rowOff>28551</xdr:rowOff>
    </xdr:to>
    <xdr:grpSp>
      <xdr:nvGrpSpPr>
        <xdr:cNvPr id="98" name="קבוצה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>
          <a:grpSpLocks/>
        </xdr:cNvGrpSpPr>
      </xdr:nvGrpSpPr>
      <xdr:grpSpPr>
        <a:xfrm>
          <a:off x="7124700" y="4162425"/>
          <a:ext cx="781050" cy="438150"/>
          <a:chOff x="2617499" y="2731961"/>
          <a:chExt cx="1018397" cy="576066"/>
        </a:xfrm>
      </xdr:grpSpPr>
      <xdr:sp>
        <xdr:nvSpPr>
          <xdr:cNvPr id="99" name="מלבן 98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SpPr/>
        </xdr:nvSpPr>
        <xdr:spPr>
          <a:xfrm>
            <a:off x="2688620" y="2733643"/>
            <a:ext cx="695248" cy="574384"/>
          </a:xfrm>
          <a:prstGeom prst="rect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0" name="תרשים זרימה: השהיה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/>
        </xdr:nvSpPr>
        <xdr:spPr>
          <a:xfrm>
            <a:off x="3131840" y="2731962"/>
            <a:ext cx="504056" cy="576065"/>
          </a:xfrm>
          <a:prstGeom prst="flowChartDelay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1" name="אליפסה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/>
        </xdr:nvSpPr>
        <xdr:spPr>
          <a:xfrm>
            <a:off x="2617499" y="2731961"/>
            <a:ext cx="154301" cy="576065"/>
          </a:xfrm>
          <a:prstGeom prst="ellipse"/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8</xdr:col>
      <xdr:colOff>596255</xdr:colOff>
      <xdr:row>34</xdr:row>
      <xdr:rowOff>180974</xdr:rowOff>
    </xdr:from>
    <xdr:to>
      <xdr:col>9</xdr:col>
      <xdr:colOff>497185</xdr:colOff>
      <xdr:row>38</xdr:row>
      <xdr:rowOff>53329</xdr:rowOff>
    </xdr:to>
    <xdr:grpSp>
      <xdr:nvGrpSpPr>
        <xdr:cNvPr id="102" name="קבוצה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>
          <a:grpSpLocks/>
        </xdr:cNvGrpSpPr>
      </xdr:nvGrpSpPr>
      <xdr:grpSpPr>
        <a:xfrm>
          <a:off x="11687175" y="6391275"/>
          <a:ext cx="600075" cy="600075"/>
          <a:chOff x="6804248" y="2708920"/>
          <a:chExt cx="720080" cy="720080"/>
        </a:xfrm>
      </xdr:grpSpPr>
      <xdr:sp>
        <xdr:nvSpPr>
          <xdr:cNvPr id="103" name="אליפסה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4" name="אליפסה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5" name="אליפסה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9</xdr:col>
      <xdr:colOff>34280</xdr:colOff>
      <xdr:row>31</xdr:row>
      <xdr:rowOff>124878</xdr:rowOff>
    </xdr:from>
    <xdr:to>
      <xdr:col>9</xdr:col>
      <xdr:colOff>434047</xdr:colOff>
      <xdr:row>33</xdr:row>
      <xdr:rowOff>162695</xdr:rowOff>
    </xdr:to>
    <xdr:grpSp>
      <xdr:nvGrpSpPr>
        <xdr:cNvPr id="106" name="קבוצה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GrpSpPr>
          <a:grpSpLocks/>
        </xdr:cNvGrpSpPr>
      </xdr:nvGrpSpPr>
      <xdr:grpSpPr>
        <a:xfrm>
          <a:off x="11820525" y="5791200"/>
          <a:ext cx="400050" cy="400050"/>
          <a:chOff x="6804248" y="2708920"/>
          <a:chExt cx="720080" cy="720080"/>
        </a:xfrm>
      </xdr:grpSpPr>
      <xdr:sp>
        <xdr:nvSpPr>
          <xdr:cNvPr id="107" name="אליפסה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6804248" y="2708920"/>
            <a:ext cx="720080" cy="720080"/>
          </a:xfrm>
          <a:prstGeom prst="ellipse"/>
          <a:solidFill>
            <a:schemeClr val="bg1">
              <a:lumMod val="65000"/>
            </a:schemeClr>
          </a:solidFill>
          <a:ln w="6350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8" name="אליפסה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/>
        </xdr:nvSpPr>
        <xdr:spPr>
          <a:xfrm>
            <a:off x="7092280" y="3068960"/>
            <a:ext cx="288032" cy="288032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09" name="אליפסה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/>
        </xdr:nvSpPr>
        <xdr:spPr>
          <a:xfrm>
            <a:off x="6876256" y="3068960"/>
            <a:ext cx="144016" cy="144016"/>
          </a:xfrm>
          <a:prstGeom prst="ellipse"/>
          <a:solidFill>
            <a:schemeClr val="tx2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6</xdr:col>
      <xdr:colOff>177155</xdr:colOff>
      <xdr:row>35</xdr:row>
      <xdr:rowOff>159118</xdr:rowOff>
    </xdr:from>
    <xdr:to>
      <xdr:col>6</xdr:col>
      <xdr:colOff>956658</xdr:colOff>
      <xdr:row>38</xdr:row>
      <xdr:rowOff>57126</xdr:rowOff>
    </xdr:to>
    <xdr:grpSp>
      <xdr:nvGrpSpPr>
        <xdr:cNvPr id="110" name="קבוצה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>
          <a:grpSpLocks/>
        </xdr:cNvGrpSpPr>
      </xdr:nvGrpSpPr>
      <xdr:grpSpPr>
        <a:xfrm>
          <a:off x="7096125" y="6553200"/>
          <a:ext cx="781050" cy="438150"/>
          <a:chOff x="2617499" y="2731961"/>
          <a:chExt cx="1018397" cy="576066"/>
        </a:xfrm>
      </xdr:grpSpPr>
      <xdr:sp>
        <xdr:nvSpPr>
          <xdr:cNvPr id="111" name="מלבן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/>
        </xdr:nvSpPr>
        <xdr:spPr>
          <a:xfrm>
            <a:off x="2688620" y="2733643"/>
            <a:ext cx="695248" cy="574384"/>
          </a:xfrm>
          <a:prstGeom prst="rect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12" name="תרשים זרימה: השהיה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3131840" y="2731962"/>
            <a:ext cx="504056" cy="576065"/>
          </a:xfrm>
          <a:prstGeom prst="flowChartDelay"/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>
        <xdr:nvSpPr>
          <xdr:cNvPr id="113" name="אליפסה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SpPr/>
        </xdr:nvSpPr>
        <xdr:spPr>
          <a:xfrm>
            <a:off x="2617499" y="2731961"/>
            <a:ext cx="154301" cy="576065"/>
          </a:xfrm>
          <a:prstGeom prst="ellipse"/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</xdr:grpSp>
    <xdr:clientData/>
  </xdr:twoCellAnchor>
  <xdr:twoCellAnchor>
    <xdr:from>
      <xdr:col>6</xdr:col>
      <xdr:colOff>1770015</xdr:colOff>
      <xdr:row>89</xdr:row>
      <xdr:rowOff>97217</xdr:rowOff>
    </xdr:from>
    <xdr:to>
      <xdr:col>7</xdr:col>
      <xdr:colOff>381622</xdr:colOff>
      <xdr:row>91</xdr:row>
      <xdr:rowOff>167315</xdr:rowOff>
    </xdr:to>
    <xdr:sp>
      <xdr:nvSpPr>
        <xdr:cNvPr id="114" name="מלבן מעוגל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8686800" y="16306800"/>
          <a:ext cx="2085975" cy="428625"/>
        </a:xfrm>
        <a:prstGeom prst="roundRect"/>
        <a:pattFill prst="lgGrid">
          <a:fgClr>
            <a:schemeClr val="tx1"/>
          </a:fgClr>
          <a:bgClr>
            <a:schemeClr val="bg1"/>
          </a:bgClr>
        </a:patt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he-IL"/>
        </a:p>
      </xdr:txBody>
    </xdr:sp>
    <xdr:clientData/>
  </xdr:twoCellAnchor>
  <xdr:twoCellAnchor>
    <xdr:from>
      <xdr:col>6</xdr:col>
      <xdr:colOff>642016</xdr:colOff>
      <xdr:row>83</xdr:row>
      <xdr:rowOff>81906</xdr:rowOff>
    </xdr:from>
    <xdr:to>
      <xdr:col>6</xdr:col>
      <xdr:colOff>1229347</xdr:colOff>
      <xdr:row>89</xdr:row>
      <xdr:rowOff>47485</xdr:rowOff>
    </xdr:to>
    <xdr:grpSp>
      <xdr:nvGrpSpPr>
        <xdr:cNvPr id="115" name="קבוצה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GrpSpPr>
          <a:grpSpLocks/>
        </xdr:cNvGrpSpPr>
      </xdr:nvGrpSpPr>
      <xdr:grpSpPr>
        <a:xfrm>
          <a:off x="7553325" y="15211425"/>
          <a:ext cx="590550" cy="1047750"/>
          <a:chOff x="3342231" y="3429001"/>
          <a:chExt cx="587331" cy="1051429"/>
        </a:xfrm>
      </xdr:grpSpPr>
      <xdr:cxnSp>
        <xdr:nvCxnSpPr>
          <xdr:cNvPr id="116" name="מחבר ישר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CxnSpPr/>
        </xdr:nvCxnSpPr>
        <xdr:spPr>
          <a:xfrm flipH="1" flipV="1">
            <a:off x="3635897" y="3429003"/>
            <a:ext cx="293665" cy="547371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7" name="מחבר ישר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CxnSpPr/>
        </xdr:nvCxnSpPr>
        <xdr:spPr>
          <a:xfrm flipV="1">
            <a:off x="3342231" y="3429001"/>
            <a:ext cx="293665" cy="547373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8" name="מחבר ישר 11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CxnSpPr/>
        </xdr:nvCxnSpPr>
        <xdr:spPr>
          <a:xfrm flipV="1">
            <a:off x="3489063" y="3429002"/>
            <a:ext cx="146833" cy="547372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9" name="מחבר ישר 11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CxnSpPr/>
        </xdr:nvCxnSpPr>
        <xdr:spPr>
          <a:xfrm flipH="1" flipV="1">
            <a:off x="3635897" y="3429002"/>
            <a:ext cx="69191" cy="547370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20" name="תרשים זרימה: השהיה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/>
        </xdr:nvSpPr>
        <xdr:spPr>
          <a:xfrm rot="5400000">
            <a:off x="3383868" y="3934737"/>
            <a:ext cx="504056" cy="587329"/>
          </a:xfrm>
          <a:prstGeom prst="flowChartDelay"/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vert270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800" b="1">
                <a:solidFill>
                  <a:schemeClr val="tx1"/>
                </a:solidFill>
              </a:rPr>
              <a:t>BAMBI</a:t>
            </a:r>
            <a:endParaRPr lang="he-IL" sz="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</xdr:col>
      <xdr:colOff>1770015</xdr:colOff>
      <xdr:row>102</xdr:row>
      <xdr:rowOff>68642</xdr:rowOff>
    </xdr:from>
    <xdr:to>
      <xdr:col>7</xdr:col>
      <xdr:colOff>381622</xdr:colOff>
      <xdr:row>104</xdr:row>
      <xdr:rowOff>138740</xdr:rowOff>
    </xdr:to>
    <xdr:sp>
      <xdr:nvSpPr>
        <xdr:cNvPr id="121" name="מלבן מעוגל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8686800" y="18640425"/>
          <a:ext cx="2085975" cy="428625"/>
        </a:xfrm>
        <a:prstGeom prst="roundRect"/>
        <a:pattFill prst="lgGrid">
          <a:fgClr>
            <a:schemeClr val="tx1"/>
          </a:fgClr>
          <a:bgClr>
            <a:schemeClr val="bg1"/>
          </a:bgClr>
        </a:patt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he-IL"/>
        </a:p>
      </xdr:txBody>
    </xdr:sp>
    <xdr:clientData/>
  </xdr:twoCellAnchor>
  <xdr:twoCellAnchor>
    <xdr:from>
      <xdr:col>6</xdr:col>
      <xdr:colOff>642016</xdr:colOff>
      <xdr:row>96</xdr:row>
      <xdr:rowOff>53331</xdr:rowOff>
    </xdr:from>
    <xdr:to>
      <xdr:col>6</xdr:col>
      <xdr:colOff>1229347</xdr:colOff>
      <xdr:row>102</xdr:row>
      <xdr:rowOff>18910</xdr:rowOff>
    </xdr:to>
    <xdr:grpSp>
      <xdr:nvGrpSpPr>
        <xdr:cNvPr id="122" name="קבוצה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GrpSpPr>
          <a:grpSpLocks/>
        </xdr:cNvGrpSpPr>
      </xdr:nvGrpSpPr>
      <xdr:grpSpPr>
        <a:xfrm>
          <a:off x="7553325" y="17545050"/>
          <a:ext cx="590550" cy="1047750"/>
          <a:chOff x="3342231" y="3429001"/>
          <a:chExt cx="587331" cy="1051429"/>
        </a:xfrm>
      </xdr:grpSpPr>
      <xdr:cxnSp>
        <xdr:nvCxnSpPr>
          <xdr:cNvPr id="123" name="מחבר ישר 122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CxnSpPr/>
        </xdr:nvCxnSpPr>
        <xdr:spPr>
          <a:xfrm flipH="1" flipV="1">
            <a:off x="3635897" y="3429003"/>
            <a:ext cx="293665" cy="547371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24" name="מחבר ישר 123">
            <a:extLst>
              <a:ext uri="{FF2B5EF4-FFF2-40B4-BE49-F238E27FC236}">
                <a16:creationId xmlns:a16="http://schemas.microsoft.com/office/drawing/2014/main" id="{00000000-0008-0000-0200-00007c000000}"/>
              </a:ext>
            </a:extLst>
          </xdr:cNvPr>
          <xdr:cNvCxnSpPr/>
        </xdr:nvCxnSpPr>
        <xdr:spPr>
          <a:xfrm flipV="1">
            <a:off x="3342231" y="3429001"/>
            <a:ext cx="293665" cy="547373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25" name="מחבר ישר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CxnSpPr/>
        </xdr:nvCxnSpPr>
        <xdr:spPr>
          <a:xfrm flipV="1">
            <a:off x="3489063" y="3429002"/>
            <a:ext cx="146833" cy="547372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26" name="מחבר ישר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CxnSpPr/>
        </xdr:nvCxnSpPr>
        <xdr:spPr>
          <a:xfrm flipH="1" flipV="1">
            <a:off x="3635897" y="3429002"/>
            <a:ext cx="69191" cy="547370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27" name="תרשים זרימה: השהיה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/>
        </xdr:nvSpPr>
        <xdr:spPr>
          <a:xfrm rot="5400000">
            <a:off x="3383868" y="3934737"/>
            <a:ext cx="504056" cy="587329"/>
          </a:xfrm>
          <a:prstGeom prst="flowChartDelay"/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vert270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800" b="1">
                <a:solidFill>
                  <a:schemeClr val="tx1"/>
                </a:solidFill>
              </a:rPr>
              <a:t>BAMBI</a:t>
            </a:r>
            <a:endParaRPr lang="he-IL" sz="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</xdr:col>
      <xdr:colOff>1808115</xdr:colOff>
      <xdr:row>115</xdr:row>
      <xdr:rowOff>78167</xdr:rowOff>
    </xdr:from>
    <xdr:to>
      <xdr:col>7</xdr:col>
      <xdr:colOff>419722</xdr:colOff>
      <xdr:row>117</xdr:row>
      <xdr:rowOff>148265</xdr:rowOff>
    </xdr:to>
    <xdr:sp>
      <xdr:nvSpPr>
        <xdr:cNvPr id="128" name="מלבן מעוגל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8724900" y="21012150"/>
          <a:ext cx="2085975" cy="428625"/>
        </a:xfrm>
        <a:prstGeom prst="roundRect"/>
        <a:pattFill prst="lgGrid">
          <a:fgClr>
            <a:schemeClr val="tx1"/>
          </a:fgClr>
          <a:bgClr>
            <a:schemeClr val="bg1"/>
          </a:bgClr>
        </a:patt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he-IL"/>
        </a:p>
      </xdr:txBody>
    </xdr:sp>
    <xdr:clientData/>
  </xdr:twoCellAnchor>
  <xdr:twoCellAnchor>
    <xdr:from>
      <xdr:col>6</xdr:col>
      <xdr:colOff>680116</xdr:colOff>
      <xdr:row>109</xdr:row>
      <xdr:rowOff>62856</xdr:rowOff>
    </xdr:from>
    <xdr:to>
      <xdr:col>6</xdr:col>
      <xdr:colOff>1267447</xdr:colOff>
      <xdr:row>115</xdr:row>
      <xdr:rowOff>28435</xdr:rowOff>
    </xdr:to>
    <xdr:grpSp>
      <xdr:nvGrpSpPr>
        <xdr:cNvPr id="129" name="קבוצה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GrpSpPr>
          <a:grpSpLocks/>
        </xdr:cNvGrpSpPr>
      </xdr:nvGrpSpPr>
      <xdr:grpSpPr>
        <a:xfrm>
          <a:off x="7591425" y="19916775"/>
          <a:ext cx="590550" cy="1047750"/>
          <a:chOff x="3342231" y="3429001"/>
          <a:chExt cx="587331" cy="1051429"/>
        </a:xfrm>
      </xdr:grpSpPr>
      <xdr:cxnSp>
        <xdr:nvCxnSpPr>
          <xdr:cNvPr id="130" name="מחבר ישר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CxnSpPr/>
        </xdr:nvCxnSpPr>
        <xdr:spPr>
          <a:xfrm flipH="1" flipV="1">
            <a:off x="3635897" y="3429003"/>
            <a:ext cx="293665" cy="547371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31" name="מחבר ישר 130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CxnSpPr/>
        </xdr:nvCxnSpPr>
        <xdr:spPr>
          <a:xfrm flipV="1">
            <a:off x="3342231" y="3429001"/>
            <a:ext cx="293665" cy="547373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32" name="מחבר ישר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CxnSpPr/>
        </xdr:nvCxnSpPr>
        <xdr:spPr>
          <a:xfrm flipV="1">
            <a:off x="3489063" y="3429002"/>
            <a:ext cx="146833" cy="547372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33" name="מחבר ישר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CxnSpPr/>
        </xdr:nvCxnSpPr>
        <xdr:spPr>
          <a:xfrm flipH="1" flipV="1">
            <a:off x="3635897" y="3429002"/>
            <a:ext cx="69191" cy="547370"/>
          </a:xfrm>
          <a:prstGeom prst="line"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34" name="תרשים זרימה: השהיה 133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SpPr/>
        </xdr:nvSpPr>
        <xdr:spPr>
          <a:xfrm rot="5400000">
            <a:off x="3383868" y="3934737"/>
            <a:ext cx="504056" cy="587329"/>
          </a:xfrm>
          <a:prstGeom prst="flowChartDelay"/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6350">
            <a:solidFill>
              <a:schemeClr val="tx1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vert270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800" b="1">
                <a:solidFill>
                  <a:schemeClr val="tx1"/>
                </a:solidFill>
              </a:rPr>
              <a:t>BAMBI</a:t>
            </a:r>
            <a:endParaRPr lang="he-IL" sz="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434047</xdr:colOff>
      <xdr:row>129</xdr:row>
      <xdr:rowOff>133350</xdr:rowOff>
    </xdr:from>
    <xdr:to>
      <xdr:col>9</xdr:col>
      <xdr:colOff>166950</xdr:colOff>
      <xdr:row>142</xdr:row>
      <xdr:rowOff>81590</xdr:rowOff>
    </xdr:to>
    <xdr:grpSp>
      <xdr:nvGrpSpPr>
        <xdr:cNvPr id="5" name="קבוצה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>
          <a:grpSpLocks/>
        </xdr:cNvGrpSpPr>
      </xdr:nvGrpSpPr>
      <xdr:grpSpPr>
        <a:xfrm>
          <a:off x="6657975" y="23612475"/>
          <a:ext cx="5295900" cy="2314575"/>
          <a:chOff x="11385875175" y="23612475"/>
          <a:chExt cx="5295503" cy="2310440"/>
        </a:xfrm>
      </xdr:grpSpPr>
      <xdr:pic>
        <xdr:nvPicPr>
          <xdr:cNvPr id="203" name="תמונה 202">
            <a:extLst>
              <a:ext uri="{FF2B5EF4-FFF2-40B4-BE49-F238E27FC236}">
                <a16:creationId xmlns:a16="http://schemas.microsoft.com/office/drawing/2014/main" id="{00000000-0008-0000-0200-0000cb000000}"/>
              </a:ext>
            </a:extLst>
          </xdr:cNvPr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11385875175" y="23612475"/>
            <a:ext cx="5224725" cy="2024047"/>
          </a:xfrm>
          <a:prstGeom prst="rect"/>
        </xdr:spPr>
      </xdr:pic>
      <xdr:grpSp>
        <xdr:nvGrpSpPr>
          <xdr:cNvPr id="168" name="קבוצה 167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GrpSpPr>
            <a:grpSpLocks/>
          </xdr:cNvGrpSpPr>
        </xdr:nvGrpSpPr>
        <xdr:grpSpPr>
          <a:xfrm>
            <a:off x="11385970311" y="24570681"/>
            <a:ext cx="5200367" cy="1352234"/>
            <a:chOff x="11385751236" y="27161481"/>
            <a:chExt cx="5200367" cy="1352234"/>
          </a:xfrm>
        </xdr:grpSpPr>
        <xdr:sp>
          <xdr:nvSpPr>
            <xdr:cNvPr id="170" name="מלבן מעוגל 169">
              <a:extLst>
                <a:ext uri="{FF2B5EF4-FFF2-40B4-BE49-F238E27FC236}">
                  <a16:creationId xmlns:a16="http://schemas.microsoft.com/office/drawing/2014/main" id="{00000000-0008-0000-0200-0000aa000000}"/>
                </a:ext>
              </a:extLst>
            </xdr:cNvPr>
            <xdr:cNvSpPr/>
          </xdr:nvSpPr>
          <xdr:spPr>
            <a:xfrm>
              <a:off x="11386946378" y="28081667"/>
              <a:ext cx="2088232" cy="432048"/>
            </a:xfrm>
            <a:prstGeom prst="roundRect"/>
            <a:pattFill prst="lgGrid">
              <a:fgClr>
                <a:schemeClr val="tx1"/>
              </a:fgClr>
              <a:bgClr>
                <a:schemeClr val="bg1"/>
              </a:bgClr>
            </a:patt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grpSp>
          <xdr:nvGrpSpPr>
            <xdr:cNvPr id="171" name="קבוצה 170">
              <a:extLst>
                <a:ext uri="{FF2B5EF4-FFF2-40B4-BE49-F238E27FC236}">
                  <a16:creationId xmlns:a16="http://schemas.microsoft.com/office/drawing/2014/main" id="{00000000-0008-0000-0200-0000ab000000}"/>
                </a:ext>
              </a:extLst>
            </xdr:cNvPr>
            <xdr:cNvGrpSpPr>
              <a:grpSpLocks/>
            </xdr:cNvGrpSpPr>
          </xdr:nvGrpSpPr>
          <xdr:grpSpPr>
            <a:xfrm>
              <a:off x="11389575278" y="27161481"/>
              <a:ext cx="587331" cy="1051429"/>
              <a:chOff x="3342231" y="3429001"/>
              <a:chExt cx="587331" cy="1051429"/>
            </a:xfrm>
          </xdr:grpSpPr>
          <xdr:cxnSp>
            <xdr:nvCxnSpPr>
              <xdr:cNvPr id="180" name="מחבר ישר 179">
                <a:extLst>
                  <a:ext uri="{FF2B5EF4-FFF2-40B4-BE49-F238E27FC236}">
                    <a16:creationId xmlns:a16="http://schemas.microsoft.com/office/drawing/2014/main" id="{00000000-0008-0000-0200-0000b4000000}"/>
                  </a:ext>
                </a:extLst>
              </xdr:cNvPr>
              <xdr:cNvCxnSpPr/>
            </xdr:nvCxnSpPr>
            <xdr:spPr>
              <a:xfrm flipH="1" flipV="1">
                <a:off x="3635897" y="3429003"/>
                <a:ext cx="293665" cy="547371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81" name="מחבר ישר 180">
                <a:extLst>
                  <a:ext uri="{FF2B5EF4-FFF2-40B4-BE49-F238E27FC236}">
                    <a16:creationId xmlns:a16="http://schemas.microsoft.com/office/drawing/2014/main" id="{00000000-0008-0000-0200-0000b5000000}"/>
                  </a:ext>
                </a:extLst>
              </xdr:cNvPr>
              <xdr:cNvCxnSpPr/>
            </xdr:nvCxnSpPr>
            <xdr:spPr>
              <a:xfrm flipV="1">
                <a:off x="3342231" y="3429001"/>
                <a:ext cx="293665" cy="547373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82" name="מחבר ישר 181">
                <a:extLst>
                  <a:ext uri="{FF2B5EF4-FFF2-40B4-BE49-F238E27FC236}">
                    <a16:creationId xmlns:a16="http://schemas.microsoft.com/office/drawing/2014/main" id="{00000000-0008-0000-0200-0000b6000000}"/>
                  </a:ext>
                </a:extLst>
              </xdr:cNvPr>
              <xdr:cNvCxnSpPr/>
            </xdr:nvCxnSpPr>
            <xdr:spPr>
              <a:xfrm flipV="1">
                <a:off x="3489063" y="3429002"/>
                <a:ext cx="146833" cy="547372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83" name="מחבר ישר 182">
                <a:extLst>
                  <a:ext uri="{FF2B5EF4-FFF2-40B4-BE49-F238E27FC236}">
                    <a16:creationId xmlns:a16="http://schemas.microsoft.com/office/drawing/2014/main" id="{00000000-0008-0000-0200-0000b7000000}"/>
                  </a:ext>
                </a:extLst>
              </xdr:cNvPr>
              <xdr:cNvCxnSpPr/>
            </xdr:nvCxnSpPr>
            <xdr:spPr>
              <a:xfrm flipH="1" flipV="1">
                <a:off x="3635897" y="3429002"/>
                <a:ext cx="69191" cy="547370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>
            <xdr:nvSpPr>
              <xdr:cNvPr id="184" name="תרשים זרימה: השהיה 183">
                <a:extLst>
                  <a:ext uri="{FF2B5EF4-FFF2-40B4-BE49-F238E27FC236}">
                    <a16:creationId xmlns:a16="http://schemas.microsoft.com/office/drawing/2014/main" id="{00000000-0008-0000-0200-0000b8000000}"/>
                  </a:ext>
                </a:extLst>
              </xdr:cNvPr>
              <xdr:cNvSpPr/>
            </xdr:nvSpPr>
            <xdr:spPr>
              <a:xfrm rot="5400000">
                <a:off x="3383868" y="3934737"/>
                <a:ext cx="504056" cy="587329"/>
              </a:xfrm>
              <a:prstGeom prst="flowChartDelay"/>
              <a:gradFill flip="none" rotWithShape="1">
                <a:gsLst>
                  <a:gs pos="0">
                    <a:schemeClr val="accent6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6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6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vert270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800" b="1">
                    <a:solidFill>
                      <a:schemeClr val="tx1"/>
                    </a:solidFill>
                  </a:rPr>
                  <a:t>BAMBI</a:t>
                </a:r>
                <a:endParaRPr lang="he-IL" sz="800" b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72" name="קבוצה 171">
              <a:extLst>
                <a:ext uri="{FF2B5EF4-FFF2-40B4-BE49-F238E27FC236}">
                  <a16:creationId xmlns:a16="http://schemas.microsoft.com/office/drawing/2014/main" id="{00000000-0008-0000-0200-0000ac000000}"/>
                </a:ext>
              </a:extLst>
            </xdr:cNvPr>
            <xdr:cNvGrpSpPr>
              <a:grpSpLocks/>
            </xdr:cNvGrpSpPr>
          </xdr:nvGrpSpPr>
          <xdr:grpSpPr>
            <a:xfrm>
              <a:off x="11385751236" y="27575928"/>
              <a:ext cx="399767" cy="399767"/>
              <a:chOff x="6804248" y="2708920"/>
              <a:chExt cx="720080" cy="720080"/>
            </a:xfrm>
          </xdr:grpSpPr>
          <xdr:sp>
            <xdr:nvSpPr>
              <xdr:cNvPr id="177" name="אליפסה 176">
                <a:extLst>
                  <a:ext uri="{FF2B5EF4-FFF2-40B4-BE49-F238E27FC236}">
                    <a16:creationId xmlns:a16="http://schemas.microsoft.com/office/drawing/2014/main" id="{00000000-0008-0000-0200-0000b1000000}"/>
                  </a:ext>
                </a:extLst>
              </xdr:cNvPr>
              <xdr:cNvSpPr/>
            </xdr:nvSpPr>
            <xdr:spPr>
              <a:xfrm>
                <a:off x="6804248" y="2708920"/>
                <a:ext cx="720080" cy="720080"/>
              </a:xfrm>
              <a:prstGeom prst="ellipse"/>
              <a:solidFill>
                <a:schemeClr val="bg1">
                  <a:lumMod val="65000"/>
                </a:schemeClr>
              </a:solidFill>
              <a:ln w="6350"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78" name="אליפסה 177">
                <a:extLst>
                  <a:ext uri="{FF2B5EF4-FFF2-40B4-BE49-F238E27FC236}">
                    <a16:creationId xmlns:a16="http://schemas.microsoft.com/office/drawing/2014/main" id="{00000000-0008-0000-0200-0000b2000000}"/>
                  </a:ext>
                </a:extLst>
              </xdr:cNvPr>
              <xdr:cNvSpPr/>
            </xdr:nvSpPr>
            <xdr:spPr>
              <a:xfrm>
                <a:off x="7092280" y="3068960"/>
                <a:ext cx="288032" cy="288032"/>
              </a:xfrm>
              <a:prstGeom prst="ellipse"/>
              <a:solidFill>
                <a:schemeClr val="tx2">
                  <a:lumMod val="75000"/>
                </a:schemeClr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79" name="אליפסה 178">
                <a:extLst>
                  <a:ext uri="{FF2B5EF4-FFF2-40B4-BE49-F238E27FC236}">
                    <a16:creationId xmlns:a16="http://schemas.microsoft.com/office/drawing/2014/main" id="{00000000-0008-0000-0200-0000b3000000}"/>
                  </a:ext>
                </a:extLst>
              </xdr:cNvPr>
              <xdr:cNvSpPr/>
            </xdr:nvSpPr>
            <xdr:spPr>
              <a:xfrm>
                <a:off x="6876256" y="3068960"/>
                <a:ext cx="144016" cy="144016"/>
              </a:xfrm>
              <a:prstGeom prst="ellipse"/>
              <a:solidFill>
                <a:schemeClr val="tx2">
                  <a:lumMod val="75000"/>
                </a:schemeClr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</xdr:grpSp>
        <xdr:grpSp>
          <xdr:nvGrpSpPr>
            <xdr:cNvPr id="173" name="קבוצה 172">
              <a:extLst>
                <a:ext uri="{FF2B5EF4-FFF2-40B4-BE49-F238E27FC236}">
                  <a16:creationId xmlns:a16="http://schemas.microsoft.com/office/drawing/2014/main" id="{00000000-0008-0000-0200-0000ad000000}"/>
                </a:ext>
              </a:extLst>
            </xdr:cNvPr>
            <xdr:cNvGrpSpPr>
              <a:grpSpLocks/>
            </xdr:cNvGrpSpPr>
          </xdr:nvGrpSpPr>
          <xdr:grpSpPr>
            <a:xfrm>
              <a:off x="11390172100" y="27667318"/>
              <a:ext cx="779503" cy="440933"/>
              <a:chOff x="2617499" y="2731961"/>
              <a:chExt cx="1018397" cy="576066"/>
            </a:xfrm>
          </xdr:grpSpPr>
          <xdr:sp>
            <xdr:nvSpPr>
              <xdr:cNvPr id="174" name="מלבן 173">
                <a:extLst>
                  <a:ext uri="{FF2B5EF4-FFF2-40B4-BE49-F238E27FC236}">
                    <a16:creationId xmlns:a16="http://schemas.microsoft.com/office/drawing/2014/main" id="{00000000-0008-0000-0200-0000ae000000}"/>
                  </a:ext>
                </a:extLst>
              </xdr:cNvPr>
              <xdr:cNvSpPr/>
            </xdr:nvSpPr>
            <xdr:spPr>
              <a:xfrm>
                <a:off x="2688620" y="2733643"/>
                <a:ext cx="695248" cy="574384"/>
              </a:xfrm>
              <a:prstGeom prst="rect"/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75" name="תרשים זרימה: השהיה 174">
                <a:extLst>
                  <a:ext uri="{FF2B5EF4-FFF2-40B4-BE49-F238E27FC236}">
                    <a16:creationId xmlns:a16="http://schemas.microsoft.com/office/drawing/2014/main" id="{00000000-0008-0000-0200-0000af000000}"/>
                  </a:ext>
                </a:extLst>
              </xdr:cNvPr>
              <xdr:cNvSpPr/>
            </xdr:nvSpPr>
            <xdr:spPr>
              <a:xfrm>
                <a:off x="3131840" y="2731962"/>
                <a:ext cx="504056" cy="576065"/>
              </a:xfrm>
              <a:prstGeom prst="flowChartDelay"/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76" name="אליפסה 175">
                <a:extLst>
                  <a:ext uri="{FF2B5EF4-FFF2-40B4-BE49-F238E27FC236}">
                    <a16:creationId xmlns:a16="http://schemas.microsoft.com/office/drawing/2014/main" id="{00000000-0008-0000-0200-0000b0000000}"/>
                  </a:ext>
                </a:extLst>
              </xdr:cNvPr>
              <xdr:cNvSpPr/>
            </xdr:nvSpPr>
            <xdr:spPr>
              <a:xfrm>
                <a:off x="2617499" y="2731961"/>
                <a:ext cx="154301" cy="576065"/>
              </a:xfrm>
              <a:prstGeom prst="ellipse"/>
              <a:solidFill>
                <a:srgbClr val="FFFF00"/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</xdr:grpSp>
      </xdr:grpSp>
    </xdr:grpSp>
    <xdr:clientData/>
  </xdr:twoCellAnchor>
  <xdr:twoCellAnchor>
    <xdr:from>
      <xdr:col>5</xdr:col>
      <xdr:colOff>338797</xdr:colOff>
      <xdr:row>143</xdr:row>
      <xdr:rowOff>28575</xdr:rowOff>
    </xdr:from>
    <xdr:to>
      <xdr:col>9</xdr:col>
      <xdr:colOff>119325</xdr:colOff>
      <xdr:row>155</xdr:row>
      <xdr:rowOff>100640</xdr:rowOff>
    </xdr:to>
    <xdr:grpSp>
      <xdr:nvGrpSpPr>
        <xdr:cNvPr id="4" name="קבוצה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6562725" y="26050875"/>
          <a:ext cx="5343525" cy="2257425"/>
          <a:chOff x="11385922800" y="26050875"/>
          <a:chExt cx="5343128" cy="2253290"/>
        </a:xfrm>
      </xdr:grpSpPr>
      <xdr:pic>
        <xdr:nvPicPr>
          <xdr:cNvPr id="202" name="תמונה 201">
            <a:extLst>
              <a:ext uri="{FF2B5EF4-FFF2-40B4-BE49-F238E27FC236}">
                <a16:creationId xmlns:a16="http://schemas.microsoft.com/office/drawing/2014/main" id="{00000000-0008-0000-0200-0000ca000000}"/>
              </a:ext>
            </a:extLst>
          </xdr:cNvPr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11385922800" y="26050875"/>
            <a:ext cx="5224725" cy="2024047"/>
          </a:xfrm>
          <a:prstGeom prst="rect"/>
        </xdr:spPr>
      </xdr:pic>
      <xdr:grpSp>
        <xdr:nvGrpSpPr>
          <xdr:cNvPr id="185" name="קבוצה 184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GrpSpPr>
            <a:grpSpLocks/>
          </xdr:cNvGrpSpPr>
        </xdr:nvGrpSpPr>
        <xdr:grpSpPr>
          <a:xfrm>
            <a:off x="11386065561" y="26951931"/>
            <a:ext cx="5200367" cy="1352234"/>
            <a:chOff x="11385751236" y="27161481"/>
            <a:chExt cx="5200367" cy="1352234"/>
          </a:xfrm>
        </xdr:grpSpPr>
        <xdr:sp>
          <xdr:nvSpPr>
            <xdr:cNvPr id="187" name="מלבן מעוגל 186">
              <a:extLst>
                <a:ext uri="{FF2B5EF4-FFF2-40B4-BE49-F238E27FC236}">
                  <a16:creationId xmlns:a16="http://schemas.microsoft.com/office/drawing/2014/main" id="{00000000-0008-0000-0200-0000bb000000}"/>
                </a:ext>
              </a:extLst>
            </xdr:cNvPr>
            <xdr:cNvSpPr/>
          </xdr:nvSpPr>
          <xdr:spPr>
            <a:xfrm>
              <a:off x="11386946378" y="28081667"/>
              <a:ext cx="2088232" cy="432048"/>
            </a:xfrm>
            <a:prstGeom prst="roundRect"/>
            <a:pattFill prst="lgGrid">
              <a:fgClr>
                <a:schemeClr val="tx1"/>
              </a:fgClr>
              <a:bgClr>
                <a:schemeClr val="bg1"/>
              </a:bgClr>
            </a:patt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fromWordArt="0" lIns="91440" tIns="45720" rIns="91440" bIns="45720" vert="horz" wrap="square" numCol="1" rtlCol="1" anchor="ctr" anchorCtr="0">
              <a:prstTxWarp prst="textNoShape"/>
              <a:no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he-IL"/>
            </a:p>
          </xdr:txBody>
        </xdr:sp>
        <xdr:grpSp>
          <xdr:nvGrpSpPr>
            <xdr:cNvPr id="188" name="קבוצה 187">
              <a:extLst>
                <a:ext uri="{FF2B5EF4-FFF2-40B4-BE49-F238E27FC236}">
                  <a16:creationId xmlns:a16="http://schemas.microsoft.com/office/drawing/2014/main" id="{00000000-0008-0000-0200-0000bc000000}"/>
                </a:ext>
              </a:extLst>
            </xdr:cNvPr>
            <xdr:cNvGrpSpPr>
              <a:grpSpLocks/>
            </xdr:cNvGrpSpPr>
          </xdr:nvGrpSpPr>
          <xdr:grpSpPr>
            <a:xfrm>
              <a:off x="11389575278" y="27161481"/>
              <a:ext cx="587331" cy="1051429"/>
              <a:chOff x="3342231" y="3429001"/>
              <a:chExt cx="587331" cy="1051429"/>
            </a:xfrm>
          </xdr:grpSpPr>
          <xdr:cxnSp>
            <xdr:nvCxnSpPr>
              <xdr:cNvPr id="197" name="מחבר ישר 196">
                <a:extLst>
                  <a:ext uri="{FF2B5EF4-FFF2-40B4-BE49-F238E27FC236}">
                    <a16:creationId xmlns:a16="http://schemas.microsoft.com/office/drawing/2014/main" id="{00000000-0008-0000-0200-0000c5000000}"/>
                  </a:ext>
                </a:extLst>
              </xdr:cNvPr>
              <xdr:cNvCxnSpPr/>
            </xdr:nvCxnSpPr>
            <xdr:spPr>
              <a:xfrm flipH="1" flipV="1">
                <a:off x="3635897" y="3429003"/>
                <a:ext cx="293665" cy="547371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98" name="מחבר ישר 197">
                <a:extLst>
                  <a:ext uri="{FF2B5EF4-FFF2-40B4-BE49-F238E27FC236}">
                    <a16:creationId xmlns:a16="http://schemas.microsoft.com/office/drawing/2014/main" id="{00000000-0008-0000-0200-0000c6000000}"/>
                  </a:ext>
                </a:extLst>
              </xdr:cNvPr>
              <xdr:cNvCxnSpPr/>
            </xdr:nvCxnSpPr>
            <xdr:spPr>
              <a:xfrm flipV="1">
                <a:off x="3342231" y="3429001"/>
                <a:ext cx="293665" cy="547373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99" name="מחבר ישר 198">
                <a:extLst>
                  <a:ext uri="{FF2B5EF4-FFF2-40B4-BE49-F238E27FC236}">
                    <a16:creationId xmlns:a16="http://schemas.microsoft.com/office/drawing/2014/main" id="{00000000-0008-0000-0200-0000c7000000}"/>
                  </a:ext>
                </a:extLst>
              </xdr:cNvPr>
              <xdr:cNvCxnSpPr/>
            </xdr:nvCxnSpPr>
            <xdr:spPr>
              <a:xfrm flipV="1">
                <a:off x="3489063" y="3429002"/>
                <a:ext cx="146833" cy="547372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200" name="מחבר ישר 199">
                <a:extLst>
                  <a:ext uri="{FF2B5EF4-FFF2-40B4-BE49-F238E27FC236}">
                    <a16:creationId xmlns:a16="http://schemas.microsoft.com/office/drawing/2014/main" id="{00000000-0008-0000-0200-0000c8000000}"/>
                  </a:ext>
                </a:extLst>
              </xdr:cNvPr>
              <xdr:cNvCxnSpPr/>
            </xdr:nvCxnSpPr>
            <xdr:spPr>
              <a:xfrm flipH="1" flipV="1">
                <a:off x="3635897" y="3429002"/>
                <a:ext cx="69191" cy="547370"/>
              </a:xfrm>
              <a:prstGeom prst="line"/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>
            <xdr:nvSpPr>
              <xdr:cNvPr id="201" name="תרשים זרימה: השהיה 200">
                <a:extLst>
                  <a:ext uri="{FF2B5EF4-FFF2-40B4-BE49-F238E27FC236}">
                    <a16:creationId xmlns:a16="http://schemas.microsoft.com/office/drawing/2014/main" id="{00000000-0008-0000-0200-0000c9000000}"/>
                  </a:ext>
                </a:extLst>
              </xdr:cNvPr>
              <xdr:cNvSpPr/>
            </xdr:nvSpPr>
            <xdr:spPr>
              <a:xfrm rot="5400000">
                <a:off x="3383868" y="3934737"/>
                <a:ext cx="504056" cy="587329"/>
              </a:xfrm>
              <a:prstGeom prst="flowChartDelay"/>
              <a:gradFill flip="none" rotWithShape="1">
                <a:gsLst>
                  <a:gs pos="0">
                    <a:schemeClr val="accent6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6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6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vert270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800" b="1">
                    <a:solidFill>
                      <a:schemeClr val="tx1"/>
                    </a:solidFill>
                  </a:rPr>
                  <a:t>BAMBI</a:t>
                </a:r>
                <a:endParaRPr lang="he-IL" sz="800" b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89" name="קבוצה 188">
              <a:extLst>
                <a:ext uri="{FF2B5EF4-FFF2-40B4-BE49-F238E27FC236}">
                  <a16:creationId xmlns:a16="http://schemas.microsoft.com/office/drawing/2014/main" id="{00000000-0008-0000-0200-0000bd000000}"/>
                </a:ext>
              </a:extLst>
            </xdr:cNvPr>
            <xdr:cNvGrpSpPr>
              <a:grpSpLocks/>
            </xdr:cNvGrpSpPr>
          </xdr:nvGrpSpPr>
          <xdr:grpSpPr>
            <a:xfrm>
              <a:off x="11385751236" y="27575928"/>
              <a:ext cx="399767" cy="399767"/>
              <a:chOff x="6804248" y="2708920"/>
              <a:chExt cx="720080" cy="720080"/>
            </a:xfrm>
          </xdr:grpSpPr>
          <xdr:sp>
            <xdr:nvSpPr>
              <xdr:cNvPr id="194" name="אליפסה 193">
                <a:extLst>
                  <a:ext uri="{FF2B5EF4-FFF2-40B4-BE49-F238E27FC236}">
                    <a16:creationId xmlns:a16="http://schemas.microsoft.com/office/drawing/2014/main" id="{00000000-0008-0000-0200-0000c2000000}"/>
                  </a:ext>
                </a:extLst>
              </xdr:cNvPr>
              <xdr:cNvSpPr/>
            </xdr:nvSpPr>
            <xdr:spPr>
              <a:xfrm>
                <a:off x="6804248" y="2708920"/>
                <a:ext cx="720080" cy="720080"/>
              </a:xfrm>
              <a:prstGeom prst="ellipse"/>
              <a:solidFill>
                <a:schemeClr val="bg1">
                  <a:lumMod val="65000"/>
                </a:schemeClr>
              </a:solidFill>
              <a:ln w="6350"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95" name="אליפסה 194">
                <a:extLst>
                  <a:ext uri="{FF2B5EF4-FFF2-40B4-BE49-F238E27FC236}">
                    <a16:creationId xmlns:a16="http://schemas.microsoft.com/office/drawing/2014/main" id="{00000000-0008-0000-0200-0000c3000000}"/>
                  </a:ext>
                </a:extLst>
              </xdr:cNvPr>
              <xdr:cNvSpPr/>
            </xdr:nvSpPr>
            <xdr:spPr>
              <a:xfrm>
                <a:off x="7092280" y="3068960"/>
                <a:ext cx="288032" cy="288032"/>
              </a:xfrm>
              <a:prstGeom prst="ellipse"/>
              <a:solidFill>
                <a:schemeClr val="tx2">
                  <a:lumMod val="75000"/>
                </a:schemeClr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96" name="אליפסה 195">
                <a:extLst>
                  <a:ext uri="{FF2B5EF4-FFF2-40B4-BE49-F238E27FC236}">
                    <a16:creationId xmlns:a16="http://schemas.microsoft.com/office/drawing/2014/main" id="{00000000-0008-0000-0200-0000c4000000}"/>
                  </a:ext>
                </a:extLst>
              </xdr:cNvPr>
              <xdr:cNvSpPr/>
            </xdr:nvSpPr>
            <xdr:spPr>
              <a:xfrm>
                <a:off x="6876256" y="3068960"/>
                <a:ext cx="144016" cy="144016"/>
              </a:xfrm>
              <a:prstGeom prst="ellipse"/>
              <a:solidFill>
                <a:schemeClr val="tx2">
                  <a:lumMod val="75000"/>
                </a:schemeClr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</xdr:grpSp>
        <xdr:grpSp>
          <xdr:nvGrpSpPr>
            <xdr:cNvPr id="190" name="קבוצה 189">
              <a:extLst>
                <a:ext uri="{FF2B5EF4-FFF2-40B4-BE49-F238E27FC236}">
                  <a16:creationId xmlns:a16="http://schemas.microsoft.com/office/drawing/2014/main" id="{00000000-0008-0000-02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11390172100" y="27667318"/>
              <a:ext cx="779503" cy="440933"/>
              <a:chOff x="2617499" y="2731961"/>
              <a:chExt cx="1018397" cy="576066"/>
            </a:xfrm>
          </xdr:grpSpPr>
          <xdr:sp>
            <xdr:nvSpPr>
              <xdr:cNvPr id="191" name="מלבן 190">
                <a:extLst>
                  <a:ext uri="{FF2B5EF4-FFF2-40B4-BE49-F238E27FC236}">
                    <a16:creationId xmlns:a16="http://schemas.microsoft.com/office/drawing/2014/main" id="{00000000-0008-0000-0200-0000bf000000}"/>
                  </a:ext>
                </a:extLst>
              </xdr:cNvPr>
              <xdr:cNvSpPr/>
            </xdr:nvSpPr>
            <xdr:spPr>
              <a:xfrm>
                <a:off x="2688620" y="2733643"/>
                <a:ext cx="695248" cy="574384"/>
              </a:xfrm>
              <a:prstGeom prst="rect"/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92" name="תרשים זרימה: השהיה 191">
                <a:extLst>
                  <a:ext uri="{FF2B5EF4-FFF2-40B4-BE49-F238E27FC236}">
                    <a16:creationId xmlns:a16="http://schemas.microsoft.com/office/drawing/2014/main" id="{00000000-0008-0000-0200-0000c0000000}"/>
                  </a:ext>
                </a:extLst>
              </xdr:cNvPr>
              <xdr:cNvSpPr/>
            </xdr:nvSpPr>
            <xdr:spPr>
              <a:xfrm>
                <a:off x="3131840" y="2731962"/>
                <a:ext cx="504056" cy="576065"/>
              </a:xfrm>
              <a:prstGeom prst="flowChartDelay"/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6350">
                <a:solidFill>
                  <a:schemeClr val="tx1"/>
                </a:solidFill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  <xdr:sp>
            <xdr:nvSpPr>
              <xdr:cNvPr id="193" name="אליפסה 192">
                <a:extLst>
                  <a:ext uri="{FF2B5EF4-FFF2-40B4-BE49-F238E27FC236}">
                    <a16:creationId xmlns:a16="http://schemas.microsoft.com/office/drawing/2014/main" id="{00000000-0008-0000-0200-0000c1000000}"/>
                  </a:ext>
                </a:extLst>
              </xdr:cNvPr>
              <xdr:cNvSpPr/>
            </xdr:nvSpPr>
            <xdr:spPr>
              <a:xfrm>
                <a:off x="2617499" y="2731961"/>
                <a:ext cx="154301" cy="576065"/>
              </a:xfrm>
              <a:prstGeom prst="ellipse"/>
              <a:solidFill>
                <a:srgbClr val="FFFF00"/>
              </a:solidFill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bg1"/>
              </a:fontRef>
            </xdr:style>
            <xdr:txBody>
              <a:bodyPr fromWordArt="0" lIns="91440" tIns="45720" rIns="91440" bIns="45720" vert="horz" wrap="square" numCol="1" rtlCol="1" anchor="ctr" anchorCtr="0">
                <a:prstTxWarp prst="textNoShape"/>
                <a:noAutofit/>
              </a:bodyPr>
              <a:lstStyle>
                <a:defPPr>
                  <a:defRPr lang="he-IL"/>
                </a:defPPr>
                <a:lvl1pPr marL="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r" defTabSz="914400" rtl="1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he-IL"/>
              </a:p>
            </xdr:txBody>
          </xdr: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12</xdr:col>
      <xdr:colOff>295275</xdr:colOff>
      <xdr:row>0</xdr:row>
      <xdr:rowOff>0</xdr:rowOff>
    </xdr:from>
    <xdr:to>
      <xdr:col>20</xdr:col>
      <xdr:colOff>542208</xdr:colOff>
      <xdr:row>42</xdr:row>
      <xdr:rowOff>75217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4875" y="0"/>
          <a:ext cx="5734050" cy="7867650"/>
        </a:xfrm>
        <a:prstGeom prst="rect"/>
      </xdr:spPr>
    </xdr:pic>
    <xdr:clientData/>
  </xdr:twoCellAnchor>
  <xdr:oneCellAnchor>
    <xdr:from>
      <xdr:col>16</xdr:col>
      <xdr:colOff>85725</xdr:colOff>
      <xdr:row>33</xdr:row>
      <xdr:rowOff>76200</xdr:rowOff>
    </xdr:from>
    <xdr:ext cx="2486025" cy="438150"/>
    <xdr:sp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1058525" y="6238875"/>
          <a:ext cx="2486025" cy="438150"/>
        </a:xfrm>
        <a:prstGeom prst="rect"/>
        <a:solidFill>
          <a:schemeClr val="accent6">
            <a:lumMod val="40000"/>
            <a:lumOff val="60000"/>
          </a:schemeClr>
        </a:solidFill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1" anchor="t">
          <a:spAutoFit/>
        </a:bodyPr>
        <a:lstStyle/>
        <a:p>
          <a:pPr algn="ctr" rtl="1"/>
          <a:r>
            <a:rPr lang="en-US" sz="1100">
              <a:solidFill>
                <a:schemeClr val="tx1"/>
              </a:solidFill>
            </a:rPr>
            <a:t>From</a:t>
          </a:r>
          <a:r>
            <a:rPr lang="en-US" sz="1100" baseline="0">
              <a:solidFill>
                <a:schemeClr val="tx1"/>
              </a:solidFill>
            </a:rPr>
            <a:t> Sup 27 - Increased Takeoff Power</a:t>
          </a:r>
        </a:p>
        <a:p>
          <a:pPr algn="ctr" rtl="1"/>
          <a:r>
            <a:rPr lang="en-US" sz="1100" baseline="0">
              <a:solidFill>
                <a:schemeClr val="tx1"/>
              </a:solidFill>
            </a:rPr>
            <a:t>Page 19 (Fig 9b)</a:t>
          </a:r>
          <a:endParaRPr lang="he-IL" sz="1100"/>
        </a:p>
      </xdr:txBody>
    </xdr:sp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nternetUserCheck.miri.ds/UserCheck/PortalMain?IID=%7BF95C7420-DB1A-AFC0-4C06-AC45C404F54B%7D&amp;origUrl=" TargetMode="External" /><Relationship Id="rId2" Type="http://schemas.openxmlformats.org/officeDocument/2006/relationships/drawing" Target="../drawings/drawing1.x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tabColor rgb="FF92D050"/>
  </sheetPr>
  <dimension ref="A1:Q54"/>
  <sheetViews>
    <sheetView rightToLeft="1" tabSelected="1" workbookViewId="0" topLeftCell="A1">
      <selection pane="topLeft" activeCell="A3" sqref="A3"/>
    </sheetView>
  </sheetViews>
  <sheetFormatPr defaultRowHeight="14.25"/>
  <cols>
    <col min="1" max="4" width="9" style="18" customWidth="1"/>
    <col min="5" max="5" width="4.125" style="18" customWidth="1"/>
    <col min="6" max="6" width="9" style="18" customWidth="1"/>
    <col min="7" max="7" width="4.125" style="18" customWidth="1"/>
    <col min="8" max="8" width="9" style="18"/>
    <col min="9" max="9" width="4.125" style="18" customWidth="1"/>
    <col min="10" max="10" width="14.125" style="18" customWidth="1"/>
    <col min="11" max="12" width="9" style="18" customWidth="1"/>
    <col min="13" max="13" width="9" style="18"/>
    <col min="14" max="14" width="9" style="18" customWidth="1"/>
    <col min="15" max="16384" width="9" style="18"/>
  </cols>
  <sheetData>
    <row r="1" spans="1:10" ht="14.25">
      <c r="A1" s="324" t="s">
        <v>195</v>
      </c>
      <c r="B1" s="324"/>
      <c r="C1" s="324"/>
      <c r="D1" s="324"/>
      <c r="E1" s="324"/>
      <c r="F1" s="324"/>
      <c r="G1" s="324"/>
      <c r="H1" s="324"/>
      <c r="I1" s="324"/>
      <c r="J1" s="326" t="s">
        <v>196</v>
      </c>
    </row>
    <row r="2" spans="1:10" ht="14.25">
      <c r="A2" s="324"/>
      <c r="B2" s="324"/>
      <c r="C2" s="324"/>
      <c r="D2" s="324"/>
      <c r="E2" s="324"/>
      <c r="F2" s="324"/>
      <c r="G2" s="324"/>
      <c r="H2" s="324"/>
      <c r="I2" s="324"/>
      <c r="J2" s="324"/>
    </row>
    <row r="4" spans="4:6" ht="14.25">
      <c r="D4" s="96" t="s">
        <v>77</v>
      </c>
      <c r="E4" s="262">
        <v>3.50</v>
      </c>
      <c r="F4" s="262"/>
    </row>
    <row r="5" spans="1:1" ht="14.25">
      <c r="A5" s="67"/>
    </row>
    <row r="6" spans="2:4" ht="14.25">
      <c r="B6" s="272" t="s">
        <v>6</v>
      </c>
      <c r="C6" s="272"/>
      <c r="D6" s="273" t="s">
        <v>85</v>
      </c>
    </row>
    <row r="7" spans="2:4" ht="15" customHeight="1">
      <c r="B7" s="272"/>
      <c r="C7" s="272"/>
      <c r="D7" s="274"/>
    </row>
    <row r="9" spans="2:7" ht="14.25">
      <c r="B9" s="18" t="s">
        <v>33</v>
      </c>
      <c r="D9" s="275" t="s">
        <v>170</v>
      </c>
      <c r="E9" s="276"/>
      <c r="F9" s="276"/>
      <c r="G9" s="277"/>
    </row>
    <row r="10" ht="4.5" customHeight="1"/>
    <row r="11" spans="2:11" ht="14.25">
      <c r="B11" s="170" t="s">
        <v>34</v>
      </c>
      <c r="D11" s="80" t="s">
        <v>45</v>
      </c>
      <c r="F11" s="240"/>
      <c r="G11" s="240"/>
      <c r="H11" s="240"/>
      <c r="I11" s="240"/>
      <c r="J11" s="240"/>
      <c r="K11" s="240"/>
    </row>
    <row r="12" ht="4.5" customHeight="1"/>
    <row r="13" spans="2:11" ht="14.25">
      <c r="B13" s="170" t="s">
        <v>157</v>
      </c>
      <c r="D13" s="80" t="s">
        <v>48</v>
      </c>
      <c r="F13" s="240" t="str">
        <f>IF(AND(OR('משקל מערכות'!$B$27:$B$29),userXP="לא"),"שים לב - תצורה זו אינה מאושרת ללא XP ","")</f>
        <v/>
      </c>
      <c r="G13" s="240"/>
      <c r="H13" s="240"/>
      <c r="I13" s="240"/>
      <c r="J13" s="240"/>
      <c r="K13" s="240"/>
    </row>
    <row r="14" ht="4.5" customHeight="1"/>
    <row r="15" spans="2:8" ht="14.25">
      <c r="B15" s="170" t="s">
        <v>132</v>
      </c>
      <c r="D15" s="80" t="s">
        <v>47</v>
      </c>
      <c r="F15" s="18" t="s">
        <v>140</v>
      </c>
      <c r="H15" s="79"/>
    </row>
    <row r="16" spans="2:2" ht="4.5" customHeight="1">
      <c r="B16" s="171"/>
    </row>
    <row r="17" spans="2:8" ht="14.25">
      <c r="B17" s="170" t="s">
        <v>133</v>
      </c>
      <c r="D17" s="80" t="s">
        <v>48</v>
      </c>
      <c r="F17" s="18" t="s">
        <v>147</v>
      </c>
      <c r="H17" s="79"/>
    </row>
    <row r="18" spans="2:2" ht="4.5" customHeight="1">
      <c r="B18" s="171"/>
    </row>
    <row r="19" spans="2:11" ht="14.25">
      <c r="B19" s="170" t="s">
        <v>134</v>
      </c>
      <c r="D19" s="80" t="s">
        <v>44</v>
      </c>
      <c r="F19" s="278" t="str">
        <f>IF(AND(userBAMBI="מחובר",userCARGO="לא"),"יש לבחור מתלה מטען + מראות",IF(AND(userBAMBI="מחובר",calcMETHOD=regCALC,OR('משקל מערכות'!$B$32:$B$39)),"EXT CARGO לבמבי במצב מחובר יש לבחור 'חישוב לביצוע'",IF(AND(userBAMBI="בסל",userBASKET="לא"),"לבמבי בסל יש לבחור 'סל כיבוי - כן'",IF(AND(calcMETHOD=regCALC,userBAMBI="ללא",userCARGO="כן",userCARGOkg&gt;0),"EXT CARGO למטען על הוו יש לבחור 'חישוב לביצוע'",""))))</f>
        <v/>
      </c>
      <c r="G19" s="278"/>
      <c r="H19" s="278"/>
      <c r="I19" s="278"/>
      <c r="J19" s="278"/>
      <c r="K19" s="278"/>
    </row>
    <row r="20" ht="4.5" customHeight="1"/>
    <row r="21" spans="2:4" ht="14.25">
      <c r="B21" s="170" t="s">
        <v>135</v>
      </c>
      <c r="D21" s="80">
        <v>3</v>
      </c>
    </row>
    <row r="25" spans="2:8" ht="15">
      <c r="B25" s="272" t="s">
        <v>54</v>
      </c>
      <c r="C25" s="272"/>
      <c r="D25" s="70" t="s">
        <v>8</v>
      </c>
      <c r="G25" s="72"/>
      <c r="H25" s="71" t="s">
        <v>9</v>
      </c>
    </row>
    <row r="26" spans="2:8" ht="15" thickBot="1">
      <c r="B26" s="272"/>
      <c r="C26" s="272"/>
      <c r="D26" s="79">
        <v>80</v>
      </c>
      <c r="H26" s="79">
        <v>80</v>
      </c>
    </row>
    <row r="27" spans="10:11" ht="15">
      <c r="J27" s="243" t="s">
        <v>158</v>
      </c>
      <c r="K27" s="244"/>
    </row>
    <row r="28" spans="4:11" ht="14.25">
      <c r="D28" s="67">
        <v>3</v>
      </c>
      <c r="E28" s="67"/>
      <c r="F28" s="67">
        <v>2</v>
      </c>
      <c r="G28" s="67"/>
      <c r="H28" s="67">
        <v>1</v>
      </c>
      <c r="J28" s="241" t="str">
        <f ca="1">IF(COUNT(נתונים!$I$33:$I$44)=0,"ללא",COUNT(נתונים!$I$33:$I$44))&amp;" כסאות"</f>
        <v>2 כסאות</v>
      </c>
      <c r="K28" s="242"/>
    </row>
    <row r="29" spans="4:11" ht="14.25">
      <c r="D29" s="79"/>
      <c r="F29" s="79"/>
      <c r="H29" s="79"/>
      <c r="J29" s="247" t="str">
        <f>"מערכת - "&amp;IF(NOT(OR('משקל מערכות'!$B$27:$B$29,'משקל מערכות'!$B$36:$B$39)),"ללא",userFLIR)</f>
        <v>מערכת - SHAPO</v>
      </c>
      <c r="K29" s="248"/>
    </row>
    <row r="30" spans="2:11" ht="14.25">
      <c r="B30" s="272" t="s">
        <v>62</v>
      </c>
      <c r="C30" s="272"/>
      <c r="D30" s="67">
        <v>13</v>
      </c>
      <c r="E30" s="67"/>
      <c r="F30" s="67">
        <v>12</v>
      </c>
      <c r="G30" s="67"/>
      <c r="H30" s="67">
        <v>11</v>
      </c>
      <c r="J30" s="241" t="str">
        <f>"XP - "&amp;IF(NOT(OR('משקל מערכות'!$B$27:$B$29,'משקל מערכות'!$B$36:$B$39)),"לא",userXP)</f>
        <v>XP - כן</v>
      </c>
      <c r="K30" s="242"/>
    </row>
    <row r="31" spans="2:11" ht="14.25">
      <c r="B31" s="272"/>
      <c r="C31" s="272"/>
      <c r="D31" s="79"/>
      <c r="F31" s="79"/>
      <c r="H31" s="79"/>
      <c r="J31" s="247" t="str">
        <f>"סל כיבוי - "&amp;IF(NOT(OR('משקל מערכות'!$B$32:$B$39)),"לא",userBASKET)</f>
        <v>סל כיבוי - לא</v>
      </c>
      <c r="K31" s="248"/>
    </row>
    <row r="32" spans="4:11" ht="14.25">
      <c r="D32" s="67">
        <v>14</v>
      </c>
      <c r="E32" s="67"/>
      <c r="F32" s="67"/>
      <c r="G32" s="67"/>
      <c r="J32" s="247" t="str">
        <f>"מתלה/מטען מראות - "&amp;IF((OR('משקל מערכות'!$B$32:$B$38)),"כן",IF('משקל מערכות'!$B$39,userCARGO,"לא"))</f>
        <v>מתלה/מטען מראות - כן</v>
      </c>
      <c r="K32" s="248"/>
    </row>
    <row r="33" spans="4:11" ht="15" thickBot="1">
      <c r="D33" s="79"/>
      <c r="J33" s="245" t="str">
        <f>"במבי - "&amp;IF(NOT(OR('משקל מערכות'!$B$32:$B$39)),"ללא",userBAMBI)</f>
        <v>במבי - ללא</v>
      </c>
      <c r="K33" s="246"/>
    </row>
    <row r="35" spans="4:8" ht="14.25">
      <c r="D35" s="67" t="s">
        <v>0</v>
      </c>
      <c r="F35" s="67" t="s">
        <v>58</v>
      </c>
      <c r="H35" s="67" t="s">
        <v>59</v>
      </c>
    </row>
    <row r="36" spans="2:8" ht="15">
      <c r="B36" s="70" t="s">
        <v>57</v>
      </c>
      <c r="C36" s="44" t="s">
        <v>61</v>
      </c>
      <c r="D36" s="79"/>
      <c r="F36" s="79"/>
      <c r="H36" s="79"/>
    </row>
    <row r="38" spans="2:13" ht="15">
      <c r="B38" s="19"/>
      <c r="C38" s="197" t="s">
        <v>116</v>
      </c>
      <c r="D38" s="198">
        <v>2000</v>
      </c>
      <c r="E38" s="196"/>
      <c r="F38" s="197" t="s">
        <v>117</v>
      </c>
      <c r="G38" s="198">
        <v>20</v>
      </c>
      <c r="H38" s="196"/>
      <c r="I38" s="269" t="s">
        <v>181</v>
      </c>
      <c r="J38" s="270"/>
      <c r="K38" s="271"/>
      <c r="L38" s="258" t="s">
        <v>184</v>
      </c>
      <c r="M38" s="259"/>
    </row>
    <row r="39" spans="9:13" ht="15" thickBot="1">
      <c r="I39" s="260" t="str">
        <f>IF(AND(calcMETHOD=ogeCALC,maxPWRspare="מה''ק (ללא ספייר)"),"טיסה עם מטען חיצוני מאושרת למה''ק מינוס 80 בלבד","")</f>
        <v/>
      </c>
      <c r="J39" s="260"/>
      <c r="K39" s="260"/>
      <c r="L39" s="260"/>
      <c r="M39" s="260"/>
    </row>
    <row r="40" spans="3:13" ht="15.75" thickBot="1">
      <c r="C40" s="236" t="s">
        <v>193</v>
      </c>
      <c r="D40" s="237"/>
      <c r="E40" s="237"/>
      <c r="F40" s="238"/>
      <c r="H40" s="239" t="str">
        <f>IF(AND($C$40=ogeCALC,OR('משקל מערכות'!$B$27:$B$31),NOT('משקל מערכות'!B39)),"יש לוודא תצורה עם מתלה מטען ","")</f>
        <v/>
      </c>
      <c r="I40" s="239"/>
      <c r="J40" s="239"/>
      <c r="K40" s="239"/>
      <c r="L40" s="239"/>
      <c r="M40" s="239"/>
    </row>
    <row r="41" spans="11:11" ht="15" thickBot="1">
      <c r="K41" s="67"/>
    </row>
    <row r="42" spans="3:16" ht="15">
      <c r="C42" s="97" t="s">
        <v>79</v>
      </c>
      <c r="D42" s="97"/>
      <c r="E42" s="97"/>
      <c r="F42" s="100">
        <f>VLOOKUP($D$6,נתונים!C6:D9,2,FALSE)</f>
        <v>1605.60</v>
      </c>
      <c r="H42" s="104"/>
      <c r="J42" s="250" t="s">
        <v>150</v>
      </c>
      <c r="K42" s="251"/>
      <c r="L42" s="252"/>
      <c r="O42" s="234"/>
      <c r="P42" s="234"/>
    </row>
    <row r="43" spans="3:12" ht="15">
      <c r="C43" s="97" t="s">
        <v>78</v>
      </c>
      <c r="D43" s="97"/>
      <c r="E43" s="97"/>
      <c r="F43" s="100">
        <f ca="1">SUM(נתונים!$L$6:$L$19)+SUM(נתונים!$D$33:$D$44)</f>
        <v>86.30</v>
      </c>
      <c r="H43" s="105" t="s">
        <v>80</v>
      </c>
      <c r="J43" s="267" t="s">
        <v>148</v>
      </c>
      <c r="K43" s="268"/>
      <c r="L43" s="173" t="s">
        <v>55</v>
      </c>
    </row>
    <row r="44" spans="3:12" ht="15">
      <c r="C44" s="19" t="s">
        <v>101</v>
      </c>
      <c r="F44" s="68">
        <f ca="1">ROUND(SUM(F42:F43),0)</f>
        <v>1692</v>
      </c>
      <c r="H44" s="106" t="str">
        <f ca="1">ROUND(SUM($F$44:$F$45),0)&amp;" kg"</f>
        <v>1852 kg</v>
      </c>
      <c r="J44" s="265" t="s">
        <v>160</v>
      </c>
      <c r="K44" s="266"/>
      <c r="L44" s="174" t="str">
        <f ca="1">IF(ROUND(OGE-SUM($F$44:$F$46)-0.7*680-40,0)&gt;59,ROUND(OGE-SUM($F$44:$F$46)-0.7*680-40,0)&amp;" kg","----")</f>
        <v>292 kg</v>
      </c>
    </row>
    <row r="45" spans="3:15" ht="18">
      <c r="C45" s="101" t="s">
        <v>54</v>
      </c>
      <c r="D45" s="101"/>
      <c r="E45" s="101"/>
      <c r="F45" s="102">
        <f>SUM(נתונים!$D$14:$D$15)</f>
        <v>160</v>
      </c>
      <c r="H45" s="204"/>
      <c r="I45" s="249" t="s">
        <v>81</v>
      </c>
      <c r="J45" s="263" t="s">
        <v>161</v>
      </c>
      <c r="K45" s="264"/>
      <c r="L45" s="174" t="str">
        <f ca="1">IF(ROUND(OGE-SUM($F$44:$F$46)-0.8*680-40,0)&gt;59,ROUND(OGE-SUM($F$44:$F$46)-0.8*680-40,0)&amp;" kg","----")</f>
        <v>224 kg</v>
      </c>
      <c r="O45" s="165"/>
    </row>
    <row r="46" spans="3:15" ht="18">
      <c r="C46" s="98" t="s">
        <v>165</v>
      </c>
      <c r="D46" s="261"/>
      <c r="E46" s="261"/>
      <c r="F46" s="99">
        <f ca="1">SUM(נתונים!$D$19:$D$27,נתונים!$L$30:$L$33)</f>
        <v>0</v>
      </c>
      <c r="H46" s="172" t="s">
        <v>149</v>
      </c>
      <c r="I46" s="249"/>
      <c r="J46" s="255" t="s">
        <v>162</v>
      </c>
      <c r="K46" s="256"/>
      <c r="L46" s="174" t="str">
        <f ca="1">IF(ROUND(OGE-SUM($F$44:$F$46)-0.9*680-40,0)&gt;59,ROUND(OGE-SUM($F$44:$F$46)-0.9*680-40,0)&amp;" kg","----")</f>
        <v>156 kg</v>
      </c>
      <c r="O46" s="165"/>
    </row>
    <row r="47" spans="3:12" ht="15" thickBot="1">
      <c r="C47" s="18" t="str">
        <f>IF(userBAMBI="מחובר","במבי + מים","מטען חיצוני")</f>
        <v>מטען חיצוני</v>
      </c>
      <c r="D47" s="168">
        <v>0</v>
      </c>
      <c r="E47" s="98"/>
      <c r="F47" s="205">
        <f>IF(AND(OR('משקל מערכות'!$B$32:$B$39),calcMETHOD=ogeCALC),IF(userBAMBI="מחובר",נתונים!$L$25,IF(userCARGO="כן",userCARGOkg,0)),0)</f>
        <v>0</v>
      </c>
      <c r="H47" s="172" t="str">
        <f ca="1">ROUND(IF(AND($C$40=ogeCALC,OR('משקל מערכות'!$B$32:$B$39)),OGE,MAXGROSS)-SUM($F$44:$F$45),0)&amp;" kg"</f>
        <v>518 kg</v>
      </c>
      <c r="J47" s="253" t="s">
        <v>159</v>
      </c>
      <c r="K47" s="254"/>
      <c r="L47" s="175" t="str">
        <f ca="1">IF(ROUND(OGE-SUM($F$44:$F$46)-680-40,0)&gt;59,ROUND(OGE-SUM($F$44:$F$46)-680-40,0)&amp;" kg","----")</f>
        <v>88 kg</v>
      </c>
    </row>
    <row r="48" spans="3:10" ht="15" thickBot="1">
      <c r="C48" s="69" t="s">
        <v>55</v>
      </c>
      <c r="D48" s="69" t="str">
        <f ca="1">"(מירבי "&amp;maxallowFUEL&amp;")"</f>
        <v>(מירבי 426)</v>
      </c>
      <c r="E48" s="69"/>
      <c r="F48" s="207">
        <v>400</v>
      </c>
      <c r="H48" s="203"/>
      <c r="J48" s="98"/>
    </row>
    <row r="49" spans="3:10" ht="15.75" customHeight="1" thickTop="1">
      <c r="C49" s="19" t="s">
        <v>56</v>
      </c>
      <c r="D49" s="19"/>
      <c r="E49" s="19" t="s">
        <v>76</v>
      </c>
      <c r="F49" s="68">
        <f ca="1">SUM($F$44:$F$48)</f>
        <v>2252</v>
      </c>
      <c r="H49" s="107" t="str">
        <f>IF(AND(calcMETHOD=ogeCALC,OR('משקל מערכות'!$B$32:$B$39)),OGE,MAXGROSS)&amp;" kg"</f>
        <v>2370 kg</v>
      </c>
      <c r="J49" s="210"/>
    </row>
    <row r="50" spans="3:15" ht="14.25" customHeight="1">
      <c r="C50" s="18" t="s">
        <v>189</v>
      </c>
      <c r="D50" s="18" t="str">
        <f ca="1">"(מירבי "&amp;maxallowFUEL2250&amp;")"</f>
        <v>(מירבי 398)</v>
      </c>
      <c r="E50" s="18" t="s">
        <v>76</v>
      </c>
      <c r="F50" s="18">
        <f ca="1">InternalWeight</f>
        <v>2252</v>
      </c>
      <c r="O50" s="205"/>
    </row>
    <row r="51" spans="3:6" ht="15">
      <c r="C51" s="257" t="str">
        <f ca="1">IF(AND(InternalWeight&gt;2250,WeightOnCable),"INTERNAL WEIGHT OVER 2250KG","")</f>
        <v/>
      </c>
      <c r="D51" s="257"/>
      <c r="E51" s="257"/>
      <c r="F51" s="257"/>
    </row>
    <row r="52" spans="3:6" ht="15" customHeight="1">
      <c r="C52" s="235" t="str">
        <f ca="1">IF(נתונים!$X$5=TRUE,"AFT CG LIMIT OUT OF RANGE",IF(נתונים!$W$5=TRUE,"FWD CG LIMIT OUT OF RANGE","CG LIMIT WITHIN RANGE"))</f>
        <v>CG LIMIT WITHIN RANGE</v>
      </c>
      <c r="D52" s="235"/>
      <c r="E52" s="235"/>
      <c r="F52" s="235"/>
    </row>
    <row r="53" ht="14.25" customHeight="1"/>
    <row r="54" spans="17:17" ht="14.25">
      <c r="Q54" s="205"/>
    </row>
  </sheetData>
  <sheetProtection algorithmName="SHA-512" hashValue="5nCIzxl5h4zCA9xaXb7hhz5vlJ5n3TdE7AvVZy08G1+YdOOLB4U7LoY3XINNYCaVL464nU0gHdK2mRggGhCUMw==" saltValue="Hysk0/4ebjrOdL5St8IFhQ==" spinCount="100000" sheet="1" objects="1" scenarios="1"/>
  <mergeCells count="34">
    <mergeCell ref="C51:F51"/>
    <mergeCell ref="L38:M38"/>
    <mergeCell ref="I39:M39"/>
    <mergeCell ref="D46:E46"/>
    <mergeCell ref="E4:F4"/>
    <mergeCell ref="J45:K45"/>
    <mergeCell ref="J44:K44"/>
    <mergeCell ref="J43:K43"/>
    <mergeCell ref="I38:K38"/>
    <mergeCell ref="B6:C7"/>
    <mergeCell ref="D6:D7"/>
    <mergeCell ref="B25:C26"/>
    <mergeCell ref="B30:C31"/>
    <mergeCell ref="D9:G9"/>
    <mergeCell ref="F13:K13"/>
    <mergeCell ref="F19:K19"/>
    <mergeCell ref="O42:P42"/>
    <mergeCell ref="C52:F52"/>
    <mergeCell ref="C40:F40"/>
    <mergeCell ref="H40:M40"/>
    <mergeCell ref="F11:K11"/>
    <mergeCell ref="J28:K28"/>
    <mergeCell ref="J27:K27"/>
    <mergeCell ref="J33:K33"/>
    <mergeCell ref="J32:K32"/>
    <mergeCell ref="J31:K31"/>
    <mergeCell ref="J30:K30"/>
    <mergeCell ref="J29:K29"/>
    <mergeCell ref="I45:I46"/>
    <mergeCell ref="J42:L42"/>
    <mergeCell ref="J47:K47"/>
    <mergeCell ref="J46:K46"/>
    <mergeCell ref="A1:I2"/>
    <mergeCell ref="J1:J2"/>
  </mergeCells>
  <conditionalFormatting sqref="H40:M40">
    <cfRule type="cellIs" priority="21" dxfId="47" operator="notEqual">
      <formula>""</formula>
    </cfRule>
  </conditionalFormatting>
  <conditionalFormatting sqref="F13:K13">
    <cfRule type="cellIs" priority="19" dxfId="47" operator="notEqual">
      <formula>""</formula>
    </cfRule>
  </conditionalFormatting>
  <conditionalFormatting sqref="F19:K19">
    <cfRule type="cellIs" priority="18" dxfId="47" operator="notEqual">
      <formula>""</formula>
    </cfRule>
  </conditionalFormatting>
  <conditionalFormatting sqref="D15">
    <cfRule type="expression" priority="55" dxfId="47">
      <formula>AND(userBAMBI="בסל",userBASKET="לא")</formula>
    </cfRule>
  </conditionalFormatting>
  <conditionalFormatting sqref="H17">
    <cfRule type="expression" priority="43" dxfId="43">
      <formula>$D$19="מחובר"</formula>
    </cfRule>
  </conditionalFormatting>
  <conditionalFormatting sqref="L38:M38">
    <cfRule type="expression" priority="10" dxfId="47">
      <formula>AND(calcMETHOD="חישוב לביצוע",maxPWRspare="מה''ק (ללא ספייר)")</formula>
    </cfRule>
  </conditionalFormatting>
  <conditionalFormatting sqref="I39">
    <cfRule type="expression" priority="9" dxfId="47">
      <formula>AND(calcMETHOD="חישוב לביצוע",maxPWRspare="מה''ק (ללא ספייר)")</formula>
    </cfRule>
  </conditionalFormatting>
  <conditionalFormatting sqref="J42:L47">
    <cfRule type="expression" priority="31" dxfId="40">
      <formula>OR(userBAMBI="ללא",$C$40=regCALC)</formula>
    </cfRule>
  </conditionalFormatting>
  <conditionalFormatting sqref="D17">
    <cfRule type="expression" priority="7" dxfId="43">
      <formula>AND(userCARGO="לא",userBAMBI="מחובר")</formula>
    </cfRule>
  </conditionalFormatting>
  <conditionalFormatting sqref="C51:F51">
    <cfRule type="cellIs" priority="6" dxfId="38" operator="equal">
      <formula>""</formula>
    </cfRule>
  </conditionalFormatting>
  <conditionalFormatting sqref="D50">
    <cfRule type="expression" priority="5" dxfId="48">
      <formula>AND(inputFUEL&gt;maxallowFUEL2250,userCARGOkg&gt;0)</formula>
    </cfRule>
    <cfRule type="expression" priority="2" dxfId="36">
      <formula>AND(inputFUEL&gt;maxallowFUEL2250,userCARGOkg=0)</formula>
    </cfRule>
  </conditionalFormatting>
  <conditionalFormatting sqref="F50">
    <cfRule type="expression" priority="4" dxfId="35">
      <formula>AND(InternalWeight&gt;2250,$H$17&gt;0)</formula>
    </cfRule>
  </conditionalFormatting>
  <conditionalFormatting sqref="C50:F50">
    <cfRule type="expression" priority="1" dxfId="34">
      <formula>userCARGO="לא"</formula>
    </cfRule>
    <cfRule type="expression" priority="3" dxfId="33">
      <formula>AND(userCARGO="כן",userCARGOkg=0)</formula>
    </cfRule>
  </conditionalFormatting>
  <conditionalFormatting sqref="D19">
    <cfRule type="expression" priority="52" dxfId="47">
      <formula>AND(userBAMBI="בסל",userBASKET="לא",NOT('משקל מערכות'!$B$39))</formula>
    </cfRule>
  </conditionalFormatting>
  <conditionalFormatting sqref="F49">
    <cfRule type="expression" priority="40" dxfId="35">
      <formula>IF(AND($C$40=ogeCALC,OR('משקל מערכות'!$B$32:$B$39)),$F$49&gt;OGE,$F$49&gt;MAXGROSS)</formula>
    </cfRule>
  </conditionalFormatting>
  <conditionalFormatting sqref="D48">
    <cfRule type="expression" priority="59" dxfId="48">
      <formula>IF(AND($C$40=ogeCALC,OR('משקל מערכות'!$B$32:$B$39)),$F$49&gt;OGE,$F$49&gt;MAXGROSS)</formula>
    </cfRule>
  </conditionalFormatting>
  <conditionalFormatting sqref="H49">
    <cfRule type="expression" priority="38" dxfId="35">
      <formula>IF(AND($C$40=ogeCALC,OR('משקל מערכות'!$B$32:$B$39)),$F$49&gt;OGE,$F$49&gt;MAXGROSS)</formula>
    </cfRule>
  </conditionalFormatting>
  <conditionalFormatting sqref="D52:F52">
    <cfRule type="expression" priority="60" dxfId="35">
      <formula>COUNTIF(נתונים!X4:Y77,TRUE)&gt;0</formula>
    </cfRule>
  </conditionalFormatting>
  <conditionalFormatting sqref="D29 F29 H29 D31 F31 H31 D33">
    <cfRule type="expression" priority="80" dxfId="49">
      <formula>COUNTIF(נתונים!$I$33:$I$44,D28)=0</formula>
    </cfRule>
  </conditionalFormatting>
  <conditionalFormatting sqref="D28 F28 H28 D30 F30 H30 D32">
    <cfRule type="expression" priority="89" dxfId="50">
      <formula>COUNTIF(נתונים!$I$33:$I$44,D28)=0</formula>
    </cfRule>
  </conditionalFormatting>
  <conditionalFormatting sqref="C52">
    <cfRule type="expression" priority="93" dxfId="35">
      <formula>COUNTIF(נתונים!W5:X77,TRUE)&gt;0</formula>
    </cfRule>
  </conditionalFormatting>
  <conditionalFormatting sqref="D11">
    <cfRule type="expression" priority="58" dxfId="49">
      <formula>NOT(OR('משקל מערכות'!$B$27:$B$29,'משקל מערכות'!$B$36:$B$39))</formula>
    </cfRule>
  </conditionalFormatting>
  <conditionalFormatting sqref="D13">
    <cfRule type="expression" priority="57" dxfId="49">
      <formula>NOT(OR('משקל מערכות'!$B$27:$B$29,'משקל מערכות'!$B$36:$B$39))</formula>
    </cfRule>
  </conditionalFormatting>
  <conditionalFormatting sqref="D15">
    <cfRule type="expression" priority="12" dxfId="49">
      <formula>NOT(OR('משקל מערכות'!$B$32:$B$39))</formula>
    </cfRule>
  </conditionalFormatting>
  <conditionalFormatting sqref="D19">
    <cfRule type="expression" priority="13" dxfId="49" stopIfTrue="1">
      <formula>NOT(OR('משקל מערכות'!$B$32:$B$39))</formula>
    </cfRule>
  </conditionalFormatting>
  <conditionalFormatting sqref="D21">
    <cfRule type="expression" priority="51" dxfId="49">
      <formula>NOT('משקל מערכות'!$B$39)</formula>
    </cfRule>
  </conditionalFormatting>
  <conditionalFormatting sqref="B21">
    <cfRule type="expression" priority="50" dxfId="49">
      <formula>NOT('משקל מערכות'!$B$39)</formula>
    </cfRule>
  </conditionalFormatting>
  <conditionalFormatting sqref="B19">
    <cfRule type="expression" priority="49" dxfId="49">
      <formula>NOT(OR('משקל מערכות'!$B$32:$B$39))</formula>
    </cfRule>
  </conditionalFormatting>
  <conditionalFormatting sqref="B17:D17">
    <cfRule type="expression" priority="48" dxfId="49">
      <formula>NOT(OR('משקל מערכות'!$B$32:$B$39))</formula>
    </cfRule>
  </conditionalFormatting>
  <conditionalFormatting sqref="B15">
    <cfRule type="expression" priority="47" dxfId="49">
      <formula>NOT(OR('משקל מערכות'!$B$32:$B$39))</formula>
    </cfRule>
  </conditionalFormatting>
  <conditionalFormatting sqref="B13">
    <cfRule type="expression" priority="46" dxfId="49">
      <formula>NOT(OR('משקל מערכות'!$B$27:$B$29,'משקל מערכות'!$B$36:$B$39))</formula>
    </cfRule>
  </conditionalFormatting>
  <conditionalFormatting sqref="B11">
    <cfRule type="expression" priority="45" dxfId="49">
      <formula>NOT(OR('משקל מערכות'!$B$27:$B$29,'משקל מערכות'!$B$36:$B$39))</formula>
    </cfRule>
  </conditionalFormatting>
  <conditionalFormatting sqref="F15:H15">
    <cfRule type="expression" priority="44" dxfId="49">
      <formula>OR(NOT(OR('משקל מערכות'!$B$32:$B$39)),$D15="לא")</formula>
    </cfRule>
  </conditionalFormatting>
  <conditionalFormatting sqref="F17:H17">
    <cfRule type="expression" priority="11" dxfId="49">
      <formula>OR(NOT(OR('משקל מערכות'!$B$32:$B$39)),userCARGO="לא",userBAMBI="מחובר")</formula>
    </cfRule>
  </conditionalFormatting>
  <conditionalFormatting sqref="C47">
    <cfRule type="expression" priority="97" dxfId="49">
      <formula>OR(NOT(OR('משקל מערכות'!$B$32:$B$39)),$C$40=regCALC)</formula>
    </cfRule>
  </conditionalFormatting>
  <conditionalFormatting sqref="F47">
    <cfRule type="expression" priority="37" dxfId="50">
      <formula>OR(NOT(OR('משקל מערכות'!$B$32:$B$39)),$C$40=regCALC)</formula>
    </cfRule>
  </conditionalFormatting>
  <conditionalFormatting sqref="O42">
    <cfRule type="expression" priority="25" dxfId="49" stopIfTrue="1">
      <formula>OR(NOT(OR('משקל מערכות'!$B$32:$B$39)),$C$40=regCALC,NOT(userBAMBI="מחובר"))</formula>
    </cfRule>
  </conditionalFormatting>
  <conditionalFormatting sqref="O42:P42">
    <cfRule type="expression" priority="24" dxfId="49">
      <formula>OR(NOT(OR('משקל מערכות'!$B$32:$B$39)),$C$40=regCALC)</formula>
    </cfRule>
  </conditionalFormatting>
  <conditionalFormatting sqref="C40:F40">
    <cfRule type="expression" priority="14" dxfId="47">
      <formula>AND(OR(AND(userBAMBI="ללא",userCARGO="כן",userCARGOkg&gt;0),userBAMBI="מחובר"),$C$40=regCALC,OR('משקל מערכות'!$B$32:$B$39))</formula>
    </cfRule>
  </conditionalFormatting>
  <conditionalFormatting sqref="D47">
    <cfRule type="expression" priority="8" dxfId="49">
      <formula>OR(NOT(OR('משקל מערכות'!$B$32:$B$39)),NOT(userBAMBI="מחובר"),$C$40=regCALC)</formula>
    </cfRule>
  </conditionalFormatting>
  <dataValidations count="14">
    <dataValidation type="list" allowBlank="1" showInputMessage="1" showErrorMessage="1" sqref="H15 D26 H26 D29 F29 H29 D31 F31 H31 D33 D36">
      <formula1>נתונים!$AG$2:$AG$28</formula1>
    </dataValidation>
    <dataValidation type="list" allowBlank="1" showInputMessage="1" showErrorMessage="1" sqref="D6:D7">
      <formula1>נתונים!$C$6:$C$9</formula1>
    </dataValidation>
    <dataValidation type="list" allowBlank="1" showInputMessage="1" showErrorMessage="1" sqref="D11">
      <formula1>נתונים!$AE$2:$AE$4</formula1>
    </dataValidation>
    <dataValidation type="list" allowBlank="1" showInputMessage="1" showErrorMessage="1" sqref="D13 D15 D17">
      <formula1>נתונים!$AF$2:$AF$3</formula1>
    </dataValidation>
    <dataValidation type="list" allowBlank="1" showInputMessage="1" showErrorMessage="1" sqref="F48">
      <formula1>נתונים!$AH$2:$AH$428</formula1>
    </dataValidation>
    <dataValidation type="list" allowBlank="1" showInputMessage="1" showErrorMessage="1" sqref="D21">
      <formula1>נתונים!$AH$2:$AH$6</formula1>
    </dataValidation>
    <dataValidation type="list" allowBlank="1" showInputMessage="1" showErrorMessage="1" sqref="D47">
      <formula1>נתונים!$AI$2:$AI$6</formula1>
    </dataValidation>
    <dataValidation type="list" allowBlank="1" showInputMessage="1" showErrorMessage="1" sqref="D19">
      <formula1>נתונים!$AD$2:$AD$5</formula1>
    </dataValidation>
    <dataValidation type="list" allowBlank="1" showInputMessage="1" showErrorMessage="1" sqref="C40:F40">
      <formula1>נתונים!$AK$2:$AK$3</formula1>
    </dataValidation>
    <dataValidation type="list" allowBlank="1" showInputMessage="1" showErrorMessage="1" sqref="D38">
      <formula1>'מה"ק'!$V$2:$V$42</formula1>
    </dataValidation>
    <dataValidation type="list" allowBlank="1" showInputMessage="1" showErrorMessage="1" sqref="G38">
      <formula1>'מה"ק'!$W$2:$W$42</formula1>
    </dataValidation>
    <dataValidation type="list" allowBlank="1" showInputMessage="1" showErrorMessage="1" sqref="D9:G9">
      <formula1>'משקל מערכות'!$C$27:$C$39</formula1>
    </dataValidation>
    <dataValidation type="list" allowBlank="1" showInputMessage="1" showErrorMessage="1" sqref="H17">
      <formula1>נתונים!$AG$2:$AG$302</formula1>
    </dataValidation>
    <dataValidation type="list" allowBlank="1" showInputMessage="1" showErrorMessage="1" sqref="L38:M38">
      <formula1>נתונים!$AL$2:$AL$3</formula1>
    </dataValidation>
  </dataValidations>
  <hyperlinks>
    <hyperlink ref="J1" r:id="rId1" display="Get Original"/>
  </hyperlinks>
  <pageMargins left="0.7" right="0.7" top="0.75" bottom="0.75" header="0.3" footer="0.3"/>
  <pageSetup orientation="portrait" paperSize="9" r:id="rId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>
    <tabColor theme="9" tint="0.7999799847602844"/>
  </sheetPr>
  <dimension ref="C1:AL428"/>
  <sheetViews>
    <sheetView rightToLeft="1" workbookViewId="0" topLeftCell="A1">
      <selection pane="topLeft" activeCell="F6" sqref="F6"/>
    </sheetView>
  </sheetViews>
  <sheetFormatPr defaultRowHeight="14.25"/>
  <cols>
    <col min="3" max="3" width="43.625" bestFit="1" customWidth="1"/>
    <col min="5" max="5" width="10.375" bestFit="1" customWidth="1"/>
    <col min="6" max="7" width="13.5" style="47" customWidth="1"/>
    <col min="8" max="8" width="9.625" bestFit="1" customWidth="1"/>
    <col min="11" max="11" width="43.625" bestFit="1" customWidth="1"/>
    <col min="12" max="12" width="5.875" bestFit="1" customWidth="1"/>
    <col min="13" max="13" width="10.375" bestFit="1" customWidth="1"/>
    <col min="14" max="14" width="9.625" bestFit="1" customWidth="1"/>
    <col min="15" max="16" width="10.25" style="1" customWidth="1"/>
    <col min="18" max="18" width="11.75" bestFit="1" customWidth="1"/>
    <col min="19" max="21" width="9.625" style="47" customWidth="1"/>
    <col min="37" max="37" width="17.375" bestFit="1" customWidth="1"/>
  </cols>
  <sheetData>
    <row r="1" spans="30:38" ht="15" thickBot="1">
      <c r="AD1" t="s">
        <v>134</v>
      </c>
      <c r="AE1" t="s">
        <v>34</v>
      </c>
      <c r="AF1" t="s">
        <v>35</v>
      </c>
      <c r="AG1" t="s">
        <v>0</v>
      </c>
      <c r="AH1" t="s">
        <v>55</v>
      </c>
      <c r="AI1" t="s">
        <v>141</v>
      </c>
      <c r="AJ1" t="s">
        <v>83</v>
      </c>
      <c r="AK1" t="s">
        <v>146</v>
      </c>
      <c r="AL1" t="s">
        <v>182</v>
      </c>
    </row>
    <row r="2" spans="19:38" ht="15.75" thickBot="1">
      <c r="S2" s="285" t="s">
        <v>14</v>
      </c>
      <c r="T2" s="286"/>
      <c r="U2" s="287"/>
      <c r="AD2" t="s">
        <v>143</v>
      </c>
      <c r="AE2" s="1" t="s">
        <v>44</v>
      </c>
      <c r="AF2" t="s">
        <v>47</v>
      </c>
      <c r="AG2">
        <v>0</v>
      </c>
      <c r="AH2">
        <v>0</v>
      </c>
      <c r="AI2" s="167">
        <v>0</v>
      </c>
      <c r="AJ2">
        <v>2370</v>
      </c>
      <c r="AK2" t="s">
        <v>193</v>
      </c>
      <c r="AL2" t="s">
        <v>184</v>
      </c>
    </row>
    <row r="3" spans="19:38" ht="15.75" thickBot="1">
      <c r="S3" s="75" t="s">
        <v>13</v>
      </c>
      <c r="T3" s="76" t="s">
        <v>11</v>
      </c>
      <c r="U3" s="74" t="s">
        <v>12</v>
      </c>
      <c r="V3" s="13"/>
      <c r="W3" s="282" t="s">
        <v>67</v>
      </c>
      <c r="X3" s="283"/>
      <c r="Y3" s="13"/>
      <c r="Z3" s="13"/>
      <c r="AD3" t="s">
        <v>144</v>
      </c>
      <c r="AE3" s="1" t="s">
        <v>45</v>
      </c>
      <c r="AF3" t="s">
        <v>48</v>
      </c>
      <c r="AG3">
        <v>5</v>
      </c>
      <c r="AH3">
        <v>1</v>
      </c>
      <c r="AI3" s="167">
        <v>0.70</v>
      </c>
      <c r="AK3" t="s">
        <v>192</v>
      </c>
      <c r="AL3" t="s">
        <v>183</v>
      </c>
    </row>
    <row r="4" spans="3:35" ht="15">
      <c r="C4" s="279" t="s">
        <v>5</v>
      </c>
      <c r="D4" s="280"/>
      <c r="E4" s="280"/>
      <c r="F4" s="280"/>
      <c r="G4" s="280"/>
      <c r="H4" s="281"/>
      <c r="K4" s="279" t="s">
        <v>39</v>
      </c>
      <c r="L4" s="280"/>
      <c r="M4" s="280"/>
      <c r="N4" s="284"/>
      <c r="O4" s="284"/>
      <c r="P4" s="281"/>
      <c r="R4" s="20" t="s">
        <v>10</v>
      </c>
      <c r="S4" s="49">
        <f ca="1">VLOOKUP(ראשי!$D$4,נתונים!$C$49:$H$52,2,FALSE)</f>
        <v>1851.90</v>
      </c>
      <c r="T4" s="39">
        <f ca="1">VLOOKUP(ראשי!$D$4,wtWITHOUTFuel,3,FALSE)</f>
        <v>3.3516917760138236</v>
      </c>
      <c r="U4" s="40">
        <f ca="1">VLOOKUP(ראשי!$D$4,wtWITHOUTFuel,6,FALSE)</f>
        <v>0.0015142286300556186</v>
      </c>
      <c r="W4" s="73" t="s">
        <v>65</v>
      </c>
      <c r="X4" s="74" t="s">
        <v>66</v>
      </c>
      <c r="AD4" t="s">
        <v>145</v>
      </c>
      <c r="AE4" s="1" t="s">
        <v>46</v>
      </c>
      <c r="AG4">
        <v>10</v>
      </c>
      <c r="AH4">
        <v>2</v>
      </c>
      <c r="AI4" s="167">
        <v>0.80</v>
      </c>
    </row>
    <row r="5" spans="3:35" ht="15" thickBot="1">
      <c r="C5" s="91" t="s">
        <v>6</v>
      </c>
      <c r="D5" s="92" t="s">
        <v>0</v>
      </c>
      <c r="E5" s="92" t="s">
        <v>11</v>
      </c>
      <c r="F5" s="60" t="s">
        <v>3</v>
      </c>
      <c r="G5" s="60" t="s">
        <v>4</v>
      </c>
      <c r="H5" s="10" t="s">
        <v>12</v>
      </c>
      <c r="K5" s="8" t="s">
        <v>2</v>
      </c>
      <c r="L5" s="9" t="s">
        <v>0</v>
      </c>
      <c r="M5" s="9" t="s">
        <v>11</v>
      </c>
      <c r="N5" s="48" t="s">
        <v>3</v>
      </c>
      <c r="O5" s="48" t="s">
        <v>4</v>
      </c>
      <c r="P5" s="10" t="s">
        <v>12</v>
      </c>
      <c r="R5" s="120" t="s">
        <v>103</v>
      </c>
      <c r="S5" s="50">
        <f ca="1">$S$4+inputFUEL</f>
        <v>2251.8999999999996</v>
      </c>
      <c r="T5" s="37">
        <f ca="1">($S$4*$T$4+inputFUEL*$T$9)/($S$4+inputFUEL)</f>
        <v>3.3744828811226077</v>
      </c>
      <c r="U5" s="38">
        <f ca="1">($S$4*$U$4+inputFUEL*$U$9)/($S$4+inputFUEL)</f>
        <v>0.0012452595585949644</v>
      </c>
      <c r="W5" s="23" t="b">
        <f ca="1">IF(AND(ראשי!$C$38=ogeCALC,OR('משקל מערכות'!$B$32:$B$39)),$S5&gt;($W$34*$T$5+$X$34),$S5&gt;($W$19*$T$5+$X$19))</f>
        <v>0</v>
      </c>
      <c r="X5" s="34" t="b">
        <f ca="1">IF(AND(ראשי!$C$38=ogeCALC,OR('משקל מערכות'!$B$32:$B$39)),$S5&gt;($W$35*$T$5+$X$35),$S5&gt;($W$20*$T$5+$X$20))</f>
        <v>0</v>
      </c>
      <c r="AD5" t="s">
        <v>44</v>
      </c>
      <c r="AG5">
        <v>15</v>
      </c>
      <c r="AH5">
        <v>3</v>
      </c>
      <c r="AI5" s="167">
        <v>0.90</v>
      </c>
    </row>
    <row r="6" spans="3:35" ht="15" thickBot="1">
      <c r="C6" s="93" t="s">
        <v>85</v>
      </c>
      <c r="D6" s="41">
        <f>ברזל!I4</f>
        <v>1605.60</v>
      </c>
      <c r="E6" s="41">
        <f>ברזל!J4</f>
        <v>3.54</v>
      </c>
      <c r="F6" s="41">
        <f>D6*E6</f>
        <v>5683.824</v>
      </c>
      <c r="G6" s="41">
        <f>D6*H6</f>
        <v>11.2392</v>
      </c>
      <c r="H6" s="16">
        <f>ברזל!M4</f>
        <v>0.007</v>
      </c>
      <c r="K6" s="194" t="str">
        <f>IF('משקל מערכות'!$B4=0,"",'משקל מערכות'!C4)</f>
        <v/>
      </c>
      <c r="L6" s="2" t="str">
        <f>IF('משקל מערכות'!$B4=0,"",'משקל מערכות'!D4)</f>
        <v/>
      </c>
      <c r="M6" s="2" t="str">
        <f>IF('משקל מערכות'!$B4=0,"",'משקל מערכות'!E4)</f>
        <v/>
      </c>
      <c r="N6" s="45" t="str">
        <f>IF('משקל מערכות'!$B4=0,"",'משקל מערכות'!F4)</f>
        <v/>
      </c>
      <c r="O6" s="45" t="str">
        <f>IF('משקל מערכות'!$B4=0,"",'משקל מערכות'!G4)</f>
        <v/>
      </c>
      <c r="P6" s="4" t="str">
        <f>IF('משקל מערכות'!$B4=0,"",'משקל מערכות'!H4)</f>
        <v/>
      </c>
      <c r="S6"/>
      <c r="T6"/>
      <c r="U6"/>
      <c r="AG6">
        <v>20</v>
      </c>
      <c r="AH6">
        <v>4</v>
      </c>
      <c r="AI6" s="167">
        <v>1</v>
      </c>
    </row>
    <row r="7" spans="3:34" ht="15">
      <c r="C7" s="93" t="s">
        <v>84</v>
      </c>
      <c r="D7" s="41">
        <f>ברזל!I5</f>
        <v>1609.50</v>
      </c>
      <c r="E7" s="41">
        <f>ברזל!J5</f>
        <v>3.50</v>
      </c>
      <c r="F7" s="41">
        <f>D7*E7</f>
        <v>5633.25</v>
      </c>
      <c r="G7" s="41">
        <f>D7*H7</f>
        <v>-16.095</v>
      </c>
      <c r="H7" s="16">
        <f>ברזל!M5</f>
        <v>-0.01</v>
      </c>
      <c r="K7" s="194" t="str">
        <f>IF('משקל מערכות'!$B5=0,"",'משקל מערכות'!C5)</f>
        <v/>
      </c>
      <c r="L7" s="2" t="str">
        <f>IF('משקל מערכות'!$B5=0,"",'משקל מערכות'!D5)</f>
        <v/>
      </c>
      <c r="M7" s="2" t="str">
        <f>IF('משקל מערכות'!$B5=0,"",'משקל מערכות'!E5)</f>
        <v/>
      </c>
      <c r="N7" s="45" t="str">
        <f>IF('משקל מערכות'!$B5=0,"",'משקל מערכות'!F5)</f>
        <v/>
      </c>
      <c r="O7" s="45" t="str">
        <f>IF('משקל מערכות'!$B5=0,"",'משקל מערכות'!G5)</f>
        <v/>
      </c>
      <c r="P7" s="4" t="str">
        <f>IF('משקל מערכות'!$B5=0,"",'משקל מערכות'!H5)</f>
        <v/>
      </c>
      <c r="S7" s="288" t="s">
        <v>104</v>
      </c>
      <c r="T7" s="289"/>
      <c r="U7" s="290"/>
      <c r="W7" s="282" t="s">
        <v>40</v>
      </c>
      <c r="X7" s="283"/>
      <c r="Z7" s="282" t="s">
        <v>41</v>
      </c>
      <c r="AA7" s="283"/>
      <c r="AG7">
        <v>25</v>
      </c>
      <c r="AH7">
        <v>5</v>
      </c>
    </row>
    <row r="8" spans="3:34" ht="14.25">
      <c r="C8" s="93" t="s">
        <v>86</v>
      </c>
      <c r="D8" s="41">
        <f>ברזל!I6</f>
        <v>1610.80</v>
      </c>
      <c r="E8" s="41">
        <f>ברזל!J6</f>
        <v>3.52</v>
      </c>
      <c r="F8" s="41">
        <f t="shared" si="0" ref="F8:F9">D8*E8</f>
        <v>5670.016</v>
      </c>
      <c r="G8" s="41">
        <f t="shared" si="1" ref="G8:G9">D8*H8</f>
        <v>-16.108</v>
      </c>
      <c r="H8" s="16">
        <f>ברזל!M6</f>
        <v>-0.01</v>
      </c>
      <c r="K8" s="194" t="str">
        <f>IF('משקל מערכות'!$B6=0,"",'משקל מערכות'!C6)</f>
        <v/>
      </c>
      <c r="L8" s="2" t="str">
        <f>IF('משקל מערכות'!$B6=0,"",'משקל מערכות'!D6)</f>
        <v/>
      </c>
      <c r="M8" s="2" t="str">
        <f>IF('משקל מערכות'!$B6=0,"",'משקל מערכות'!E6)</f>
        <v/>
      </c>
      <c r="N8" s="45" t="str">
        <f>IF('משקל מערכות'!$B6=0,"",'משקל מערכות'!F6)</f>
        <v/>
      </c>
      <c r="O8" s="45" t="str">
        <f>IF('משקל מערכות'!$B6=0,"",'משקל מערכות'!G6)</f>
        <v/>
      </c>
      <c r="P8" s="4" t="str">
        <f>IF('משקל מערכות'!$B6=0,"",'משקל מערכות'!H6)</f>
        <v/>
      </c>
      <c r="S8" s="75"/>
      <c r="T8" s="76" t="s">
        <v>11</v>
      </c>
      <c r="U8" s="74" t="s">
        <v>12</v>
      </c>
      <c r="W8" s="91" t="s">
        <v>1</v>
      </c>
      <c r="X8" s="10" t="s">
        <v>0</v>
      </c>
      <c r="Z8" s="8" t="s">
        <v>1</v>
      </c>
      <c r="AA8" s="10" t="s">
        <v>0</v>
      </c>
      <c r="AG8">
        <v>30</v>
      </c>
      <c r="AH8">
        <v>6</v>
      </c>
    </row>
    <row r="9" spans="3:34" ht="15" thickBot="1">
      <c r="C9" s="89" t="s">
        <v>87</v>
      </c>
      <c r="D9" s="42">
        <f>ברזל!I7</f>
        <v>1613.10</v>
      </c>
      <c r="E9" s="42">
        <f>ברזל!J7</f>
        <v>3.52</v>
      </c>
      <c r="F9" s="42">
        <f t="shared" si="0"/>
        <v>5678.112</v>
      </c>
      <c r="G9" s="42">
        <f t="shared" si="1"/>
        <v>-16.131</v>
      </c>
      <c r="H9" s="17">
        <f>ברזל!M7</f>
        <v>-0.01</v>
      </c>
      <c r="K9" s="194" t="str">
        <f>IF('משקל מערכות'!$B7=0,"",'משקל מערכות'!C7)</f>
        <v xml:space="preserve">CONTROP IMAGER SHAPO     </v>
      </c>
      <c r="L9" s="2">
        <f>IF('משקל מערכות'!$B7=0,"",'משקל מערכות'!D7)</f>
        <v>18</v>
      </c>
      <c r="M9" s="2">
        <f>IF('משקל מערכות'!$B7=0,"",'משקל מערכות'!E7)</f>
        <v>1.03</v>
      </c>
      <c r="N9" s="45">
        <f>IF('משקל מערכות'!$B7=0,"",'משקל מערכות'!F7)</f>
        <v>18.54</v>
      </c>
      <c r="O9" s="45">
        <f>IF('משקל מערכות'!$B7=0,"",'משקל מערכות'!G7)</f>
        <v>-9.540000000000001</v>
      </c>
      <c r="P9" s="4">
        <f>IF('משקל מערכות'!$B7=0,"",'משקל מערכות'!H7)</f>
        <v>-0.53</v>
      </c>
      <c r="S9" s="23"/>
      <c r="T9" s="33">
        <v>3.48</v>
      </c>
      <c r="U9" s="34">
        <v>0</v>
      </c>
      <c r="W9" s="93">
        <v>3.23</v>
      </c>
      <c r="X9" s="83">
        <v>2370</v>
      </c>
      <c r="Z9" s="3">
        <v>-0.08</v>
      </c>
      <c r="AA9" s="4">
        <v>2370</v>
      </c>
      <c r="AG9">
        <v>35</v>
      </c>
      <c r="AH9">
        <v>7</v>
      </c>
    </row>
    <row r="10" spans="11:34" ht="15" thickBot="1">
      <c r="K10" s="194" t="str">
        <f>IF('משקל מערכות'!$B8=0,"",'משקל מערכות'!C8)</f>
        <v/>
      </c>
      <c r="L10" s="2" t="str">
        <f>IF('משקל מערכות'!$B8=0,"",'משקל מערכות'!D8)</f>
        <v/>
      </c>
      <c r="M10" s="2" t="str">
        <f>IF('משקל מערכות'!$B8=0,"",'משקל מערכות'!E8)</f>
        <v/>
      </c>
      <c r="N10" s="45" t="str">
        <f>IF('משקל מערכות'!$B8=0,"",'משקל מערכות'!F8)</f>
        <v/>
      </c>
      <c r="O10" s="45" t="str">
        <f>IF('משקל מערכות'!$B8=0,"",'משקל מערכות'!G8)</f>
        <v/>
      </c>
      <c r="P10" s="4" t="str">
        <f>IF('משקל מערכות'!$B8=0,"",'משקל מערכות'!H8)</f>
        <v/>
      </c>
      <c r="S10"/>
      <c r="T10"/>
      <c r="U10"/>
      <c r="W10" s="93">
        <v>3.407</v>
      </c>
      <c r="X10" s="4">
        <v>2370</v>
      </c>
      <c r="Z10" s="11">
        <v>0.08</v>
      </c>
      <c r="AA10" s="12">
        <v>2370</v>
      </c>
      <c r="AG10">
        <v>40</v>
      </c>
      <c r="AH10">
        <v>8</v>
      </c>
    </row>
    <row r="11" spans="11:34" ht="15.75" thickBot="1">
      <c r="K11" s="194" t="str">
        <f>IF('משקל מערכות'!$B9=0,"",'משקל מערכות'!C9)</f>
        <v>Nightsun XP Search Light</v>
      </c>
      <c r="L11" s="2">
        <f>IF('משקל מערכות'!$B9=0,"",'משקל מערכות'!D9)</f>
        <v>33</v>
      </c>
      <c r="M11" s="2">
        <f>IF('משקל מערכות'!$B9=0,"",'משקל מערכות'!E9)</f>
        <v>4.83</v>
      </c>
      <c r="N11" s="45">
        <f>IF('משקל מערכות'!$B9=0,"",'משקל מערכות'!F9)</f>
        <v>159.39000000000001</v>
      </c>
      <c r="O11" s="45">
        <f>IF('משקל מערכות'!$B9=0,"",'משקל מערכות'!G9)</f>
        <v>0</v>
      </c>
      <c r="P11" s="4">
        <f>IF('משקל מערכות'!$B9=0,"",'משקל מערכות'!H9)</f>
        <v>0</v>
      </c>
      <c r="S11" s="288" t="s">
        <v>190</v>
      </c>
      <c r="T11" s="289"/>
      <c r="U11" s="290"/>
      <c r="W11" s="93">
        <v>3.49</v>
      </c>
      <c r="X11" s="4">
        <v>1750</v>
      </c>
      <c r="Z11" s="11">
        <v>0.08</v>
      </c>
      <c r="AA11" s="12">
        <v>2250</v>
      </c>
      <c r="AG11">
        <v>45</v>
      </c>
      <c r="AH11">
        <v>9</v>
      </c>
    </row>
    <row r="12" spans="3:34" ht="15.75" thickBot="1">
      <c r="C12" s="279" t="s">
        <v>7</v>
      </c>
      <c r="D12" s="280"/>
      <c r="E12" s="280"/>
      <c r="F12" s="284"/>
      <c r="G12" s="284"/>
      <c r="H12" s="281"/>
      <c r="K12" s="194" t="str">
        <f>IF('משקל מערכות'!$B10=0,"",'משקל מערכות'!C10)</f>
        <v/>
      </c>
      <c r="L12" s="2" t="str">
        <f>IF('משקל מערכות'!$B10=0,"",'משקל מערכות'!D10)</f>
        <v/>
      </c>
      <c r="M12" s="2" t="str">
        <f>IF('משקל מערכות'!$B10=0,"",'משקל מערכות'!E10)</f>
        <v/>
      </c>
      <c r="N12" s="45" t="str">
        <f>IF('משקל מערכות'!$B10=0,"",'משקל מערכות'!F10)</f>
        <v/>
      </c>
      <c r="O12" s="45" t="str">
        <f>IF('משקל מערכות'!$B10=0,"",'משקל מערכות'!G10)</f>
        <v/>
      </c>
      <c r="P12" s="4" t="str">
        <f>IF('משקל מערכות'!$B10=0,"",'משקל מערכות'!H10)</f>
        <v/>
      </c>
      <c r="S12" s="291">
        <f ca="1">IF(AND(calcMETHOD=ogeCALC,OR('משקל מערכות'!$B$32:$B$39)),IF(ROUND(OGE-zerofuelWT,0)&gt;426,426,ROUND(OGE-zerofuelWT,0)),IF(ROUND(MAXGROSS-zerofuelWT,0)&gt;426,426,ROUND(MAXGROSS-zerofuelWT,0)))</f>
        <v>426</v>
      </c>
      <c r="T12" s="292"/>
      <c r="U12" s="293"/>
      <c r="W12" s="93">
        <v>3.498</v>
      </c>
      <c r="X12" s="4">
        <v>1310</v>
      </c>
      <c r="Z12" s="11">
        <v>0.14</v>
      </c>
      <c r="AA12" s="12">
        <v>2250</v>
      </c>
      <c r="AG12">
        <v>50</v>
      </c>
      <c r="AH12">
        <v>10</v>
      </c>
    </row>
    <row r="13" spans="3:34" ht="15" thickBot="1">
      <c r="C13" s="8" t="s">
        <v>2</v>
      </c>
      <c r="D13" s="9" t="s">
        <v>0</v>
      </c>
      <c r="E13" s="9" t="s">
        <v>11</v>
      </c>
      <c r="F13" s="48" t="s">
        <v>3</v>
      </c>
      <c r="G13" s="48" t="s">
        <v>4</v>
      </c>
      <c r="H13" s="10" t="s">
        <v>12</v>
      </c>
      <c r="K13" s="194" t="str">
        <f>IF('משקל מערכות'!$B11=0,"",'משקל מערכות'!C11)</f>
        <v/>
      </c>
      <c r="L13" s="2" t="str">
        <f>IF('משקל מערכות'!$B11=0,"",'משקל מערכות'!D11)</f>
        <v/>
      </c>
      <c r="M13" s="2" t="str">
        <f>IF('משקל מערכות'!$B11=0,"",'משקל מערכות'!E11)</f>
        <v/>
      </c>
      <c r="N13" s="45" t="str">
        <f>IF('משקל מערכות'!$B11=0,"",'משקל מערכות'!F11)</f>
        <v/>
      </c>
      <c r="O13" s="45" t="str">
        <f>IF('משקל מערכות'!$B11=0,"",'משקל מערכות'!G11)</f>
        <v/>
      </c>
      <c r="P13" s="4" t="str">
        <f>IF('משקל מערכות'!$B11=0,"",'משקל מערכות'!H11)</f>
        <v/>
      </c>
      <c r="S13"/>
      <c r="T13"/>
      <c r="U13"/>
      <c r="W13" s="93">
        <v>3.17</v>
      </c>
      <c r="X13" s="4">
        <v>1310</v>
      </c>
      <c r="Z13" s="3">
        <v>0.14</v>
      </c>
      <c r="AA13" s="4">
        <v>1300</v>
      </c>
      <c r="AG13">
        <v>55</v>
      </c>
      <c r="AH13">
        <v>11</v>
      </c>
    </row>
    <row r="14" spans="3:34" ht="15">
      <c r="C14" s="3" t="s">
        <v>8</v>
      </c>
      <c r="D14" s="2">
        <f>ראשי!D24</f>
        <v>80</v>
      </c>
      <c r="E14" s="2">
        <v>1.55</v>
      </c>
      <c r="F14" s="45">
        <f>D14*E14</f>
        <v>124</v>
      </c>
      <c r="G14" s="45">
        <f>D14*H14</f>
        <v>28.799999999999997</v>
      </c>
      <c r="H14" s="4">
        <v>0.36</v>
      </c>
      <c r="K14" s="194" t="str">
        <f>IF('משקל מערכות'!$B12=0,"",'משקל מערכות'!C12)</f>
        <v/>
      </c>
      <c r="L14" s="2" t="str">
        <f>IF('משקל מערכות'!$B12=0,"",'משקל מערכות'!D12)</f>
        <v/>
      </c>
      <c r="M14" s="2" t="str">
        <f>IF('משקל מערכות'!$B12=0,"",'משקל מערכות'!E12)</f>
        <v/>
      </c>
      <c r="N14" s="45" t="str">
        <f>IF('משקל מערכות'!$B12=0,"",'משקל מערכות'!F12)</f>
        <v/>
      </c>
      <c r="O14" s="45" t="str">
        <f>IF('משקל מערכות'!$B12=0,"",'משקל מערכות'!G12)</f>
        <v/>
      </c>
      <c r="P14" s="4" t="str">
        <f>IF('משקל מערכות'!$B12=0,"",'משקל מערכות'!H12)</f>
        <v/>
      </c>
      <c r="S14" s="288" t="s">
        <v>191</v>
      </c>
      <c r="T14" s="289"/>
      <c r="U14" s="290"/>
      <c r="W14" s="93">
        <v>3.17</v>
      </c>
      <c r="X14" s="4">
        <v>2000</v>
      </c>
      <c r="Z14" s="11">
        <v>-0.18</v>
      </c>
      <c r="AA14" s="12">
        <v>1300</v>
      </c>
      <c r="AG14">
        <v>60</v>
      </c>
      <c r="AH14">
        <v>12</v>
      </c>
    </row>
    <row r="15" spans="3:34" ht="15" thickBot="1">
      <c r="C15" s="89" t="s">
        <v>9</v>
      </c>
      <c r="D15" s="90">
        <f>ראשי!H24</f>
        <v>80</v>
      </c>
      <c r="E15" s="90">
        <v>1.55</v>
      </c>
      <c r="F15" s="46">
        <f>D15*E15</f>
        <v>124</v>
      </c>
      <c r="G15" s="46">
        <f>D15*H15</f>
        <v>-28.799999999999997</v>
      </c>
      <c r="H15" s="5">
        <v>-0.36</v>
      </c>
      <c r="K15" s="194" t="str">
        <f>IF('משקל מערכות'!$B13=0,"",'משקל מערכות'!C13)</f>
        <v/>
      </c>
      <c r="L15" s="2" t="str">
        <f>IF('משקל מערכות'!$B13=0,"",'משקל מערכות'!D13)</f>
        <v/>
      </c>
      <c r="M15" s="2" t="str">
        <f>IF('משקל מערכות'!$B13=0,"",'משקל מערכות'!E13)</f>
        <v/>
      </c>
      <c r="N15" s="45" t="str">
        <f>IF('משקל מערכות'!$B13=0,"",'משקל מערכות'!F13)</f>
        <v/>
      </c>
      <c r="O15" s="45" t="str">
        <f>IF('משקל מערכות'!$B13=0,"",'משקל מערכות'!G13)</f>
        <v/>
      </c>
      <c r="P15" s="4" t="str">
        <f>IF('משקל מערכות'!$B13=0,"",'משקל מערכות'!H13)</f>
        <v/>
      </c>
      <c r="S15" s="300">
        <f ca="1">2250-(InternalWeight-inputFUEL)</f>
        <v>398</v>
      </c>
      <c r="T15" s="292"/>
      <c r="U15" s="293"/>
      <c r="W15" s="89">
        <v>3.23</v>
      </c>
      <c r="X15" s="5">
        <v>2370</v>
      </c>
      <c r="Z15" s="11">
        <v>-0.18</v>
      </c>
      <c r="AA15" s="12">
        <v>2250</v>
      </c>
      <c r="AG15">
        <v>65</v>
      </c>
      <c r="AH15">
        <v>13</v>
      </c>
    </row>
    <row r="16" spans="11:34" ht="15" thickBot="1">
      <c r="K16" s="194" t="str">
        <f>IF('משקל מערכות'!$B14=0,"",'משקל מערכות'!C14)</f>
        <v>CARGO HOOK DOUBLE DET PROVISIONS</v>
      </c>
      <c r="L16" s="2">
        <f>IF('משקל מערכות'!$B14=0,"",'משקל מערכות'!D14)</f>
        <v>13.60</v>
      </c>
      <c r="M16" s="2">
        <f>IF('משקל מערכות'!$B14=0,"",'משקל מערכות'!E14)</f>
        <v>3.38</v>
      </c>
      <c r="N16" s="45">
        <f>IF('משקל מערכות'!$B14=0,"",'משקל מערכות'!F14)</f>
        <v>45.967999999999996</v>
      </c>
      <c r="O16" s="45">
        <f>IF('משקל מערכות'!$B14=0,"",'משקל מערכות'!G14)</f>
        <v>0</v>
      </c>
      <c r="P16" s="4">
        <f>IF('משקל מערכות'!$B14=0,"",'משקל מערכות'!H14)</f>
        <v>0</v>
      </c>
      <c r="S16"/>
      <c r="T16"/>
      <c r="U16"/>
      <c r="Z16" s="11">
        <v>-0.08</v>
      </c>
      <c r="AA16" s="12">
        <v>2250</v>
      </c>
      <c r="AG16">
        <v>70</v>
      </c>
      <c r="AH16">
        <v>14</v>
      </c>
    </row>
    <row r="17" spans="3:34" ht="15.75" thickBot="1">
      <c r="C17" s="294" t="s">
        <v>36</v>
      </c>
      <c r="D17" s="295"/>
      <c r="E17" s="295"/>
      <c r="F17" s="295"/>
      <c r="G17" s="295"/>
      <c r="H17" s="295"/>
      <c r="I17" s="296"/>
      <c r="K17" s="194" t="str">
        <f>IF('משקל מערכות'!$B15=0,"",'משקל מערכות'!C15)</f>
        <v>CARGO HOOK MIRROR DETACHABLE PARTS</v>
      </c>
      <c r="L17" s="2">
        <f>IF('משקל מערכות'!$B15=0,"",'משקל מערכות'!D15)</f>
        <v>1.70</v>
      </c>
      <c r="M17" s="2">
        <f>IF('משקל מערכות'!$B15=0,"",'משקל מערכות'!E15)</f>
        <v>0.28</v>
      </c>
      <c r="N17" s="45">
        <f>IF('משקל מערכות'!$B15=0,"",'משקל מערכות'!F15)</f>
        <v>0.47600000000000003</v>
      </c>
      <c r="O17" s="45">
        <f>IF('משקל מערכות'!$B15=0,"",'משקל מערכות'!G15)</f>
        <v>1.105</v>
      </c>
      <c r="P17" s="4">
        <f>IF('משקל מערכות'!$B15=0,"",'משקל מערכות'!H15)</f>
        <v>0.65</v>
      </c>
      <c r="S17" s="233">
        <f ca="1">SUM(ראשי!F42,ראשי!F43,ראשי!F44,ראשי!F46)</f>
        <v>2252</v>
      </c>
      <c r="T17" s="298" t="s">
        <v>187</v>
      </c>
      <c r="U17" s="299"/>
      <c r="V17" s="279" t="s">
        <v>153</v>
      </c>
      <c r="W17" s="280"/>
      <c r="X17" s="281"/>
      <c r="Z17" s="11">
        <v>-0.08</v>
      </c>
      <c r="AA17" s="12">
        <v>2370</v>
      </c>
      <c r="AG17">
        <v>75</v>
      </c>
      <c r="AH17">
        <v>15</v>
      </c>
    </row>
    <row r="18" spans="3:34" ht="15" thickBot="1">
      <c r="C18" s="91" t="s">
        <v>53</v>
      </c>
      <c r="D18" s="92" t="s">
        <v>0</v>
      </c>
      <c r="E18" s="92" t="s">
        <v>11</v>
      </c>
      <c r="F18" s="48" t="s">
        <v>3</v>
      </c>
      <c r="G18" s="48" t="s">
        <v>4</v>
      </c>
      <c r="H18" s="63" t="s">
        <v>12</v>
      </c>
      <c r="I18" s="10" t="s">
        <v>50</v>
      </c>
      <c r="K18" s="194"/>
      <c r="L18" s="2"/>
      <c r="M18" s="2"/>
      <c r="N18" s="45"/>
      <c r="O18" s="45"/>
      <c r="P18" s="4"/>
      <c r="S18"/>
      <c r="T18"/>
      <c r="U18"/>
      <c r="V18" s="108"/>
      <c r="W18" s="109" t="s">
        <v>63</v>
      </c>
      <c r="X18" s="10" t="s">
        <v>64</v>
      </c>
      <c r="Z18" s="14"/>
      <c r="AA18" s="15"/>
      <c r="AG18">
        <v>80</v>
      </c>
      <c r="AH18">
        <v>16</v>
      </c>
    </row>
    <row r="19" spans="3:34" ht="15" thickBot="1">
      <c r="C19" s="93">
        <v>1</v>
      </c>
      <c r="D19" s="94">
        <f ca="1">IF(E19="","",ראשי!H27)</f>
        <v>0</v>
      </c>
      <c r="E19" s="94">
        <f ca="1" t="shared" si="2" ref="E19:E25">IFERROR(INDEX($E$33:$H$44,MATCH($C19,$I$33:$I$44,0),1),"")</f>
        <v>2.54</v>
      </c>
      <c r="F19" s="41">
        <f ca="1">IF(E19&lt;&gt;"",D19*E19,"")</f>
        <v>0</v>
      </c>
      <c r="G19" s="41">
        <f ca="1">IF(E19&lt;&gt;"",D19*H19,"")</f>
        <v>0</v>
      </c>
      <c r="H19" s="94">
        <f ca="1" t="shared" si="3" ref="H19:H25">IFERROR(INDEX($E$33:$H$44,MATCH($C19,$I$33:$I$44,0),4),"")</f>
        <v>-0.62</v>
      </c>
      <c r="I19" s="32"/>
      <c r="K19" s="195"/>
      <c r="L19" s="7"/>
      <c r="M19" s="7"/>
      <c r="N19" s="46"/>
      <c r="O19" s="46"/>
      <c r="P19" s="5"/>
      <c r="S19"/>
      <c r="T19"/>
      <c r="U19"/>
      <c r="V19" s="108" t="s">
        <v>65</v>
      </c>
      <c r="W19" s="77">
        <f>SLOPE(נתונים!X14:X15,נתונים!W14:W15)</f>
        <v>6166.666666666661</v>
      </c>
      <c r="X19" s="78">
        <f>X14-W14*W19</f>
        <v>-17548.333333333314</v>
      </c>
      <c r="AG19">
        <v>85</v>
      </c>
      <c r="AH19">
        <v>17</v>
      </c>
    </row>
    <row r="20" spans="3:34" ht="15" thickBot="1">
      <c r="C20" s="93">
        <v>2</v>
      </c>
      <c r="D20" s="94" t="str">
        <f ca="1">IF(E20="","",ראשי!F27)</f>
        <v/>
      </c>
      <c r="E20" s="94" t="str">
        <f t="shared" ca="1" si="2"/>
        <v/>
      </c>
      <c r="F20" s="45" t="str">
        <f ca="1" t="shared" si="4" ref="F20:F25">IF(E20&lt;&gt;"",D20*E20,"")</f>
        <v/>
      </c>
      <c r="G20" s="45" t="str">
        <f ca="1" t="shared" si="5" ref="G20:G25">IF(E20&lt;&gt;"",D20*H20,"")</f>
        <v/>
      </c>
      <c r="H20" s="95" t="str">
        <f t="shared" ca="1" si="3"/>
        <v/>
      </c>
      <c r="I20" s="32"/>
      <c r="S20"/>
      <c r="T20"/>
      <c r="U20"/>
      <c r="V20" s="108" t="s">
        <v>66</v>
      </c>
      <c r="W20" s="77">
        <f>SLOPE(X10:X11,W10:W11)</f>
        <v>-7469.879518072273</v>
      </c>
      <c r="X20" s="78">
        <f>X11-W11*W20</f>
        <v>27819.879518072234</v>
      </c>
      <c r="AG20">
        <v>90</v>
      </c>
      <c r="AH20">
        <v>18</v>
      </c>
    </row>
    <row r="21" spans="3:34" ht="15.75" thickBot="1">
      <c r="C21" s="93">
        <v>3</v>
      </c>
      <c r="D21" s="94">
        <f ca="1">IF(E21="","",ראשי!D27)</f>
        <v>0</v>
      </c>
      <c r="E21" s="94">
        <f t="shared" ca="1" si="2"/>
        <v>2.54</v>
      </c>
      <c r="F21" s="45">
        <f t="shared" ca="1" si="4"/>
        <v>0</v>
      </c>
      <c r="G21" s="45">
        <f t="shared" ca="1" si="5"/>
        <v>0</v>
      </c>
      <c r="H21" s="95">
        <f t="shared" ca="1" si="3"/>
        <v>0.62</v>
      </c>
      <c r="I21" s="32"/>
      <c r="K21" s="279" t="s">
        <v>155</v>
      </c>
      <c r="L21" s="280"/>
      <c r="M21" s="280"/>
      <c r="N21" s="284"/>
      <c r="O21" s="284"/>
      <c r="P21" s="281"/>
      <c r="S21"/>
      <c r="T21"/>
      <c r="U21"/>
      <c r="V21" s="117" t="s">
        <v>105</v>
      </c>
      <c r="W21" s="118">
        <f ca="1">SLOPE($S$4:$S$5,$T$4:$T$5)</f>
        <v>17550.70665028139</v>
      </c>
      <c r="X21" s="119">
        <f ca="1">$S$5-$T$5*$W$21</f>
        <v>-56972.65914297926</v>
      </c>
      <c r="AG21">
        <v>95</v>
      </c>
      <c r="AH21">
        <v>19</v>
      </c>
    </row>
    <row r="22" spans="3:34" ht="15" thickBot="1">
      <c r="C22" s="93">
        <v>11</v>
      </c>
      <c r="D22" s="94" t="str">
        <f ca="1">IF(E22="","",ראשי!H29)</f>
        <v/>
      </c>
      <c r="E22" s="94" t="str">
        <f t="shared" ca="1" si="2"/>
        <v/>
      </c>
      <c r="F22" s="45" t="str">
        <f t="shared" ca="1" si="4"/>
        <v/>
      </c>
      <c r="G22" s="45" t="str">
        <f t="shared" ca="1" si="5"/>
        <v/>
      </c>
      <c r="H22" s="95" t="str">
        <f t="shared" ca="1" si="3"/>
        <v/>
      </c>
      <c r="I22" s="32"/>
      <c r="K22" s="177" t="s">
        <v>2</v>
      </c>
      <c r="L22" s="178" t="s">
        <v>0</v>
      </c>
      <c r="M22" s="178" t="s">
        <v>11</v>
      </c>
      <c r="N22" s="48" t="s">
        <v>3</v>
      </c>
      <c r="O22" s="48" t="s">
        <v>4</v>
      </c>
      <c r="P22" s="10" t="s">
        <v>12</v>
      </c>
      <c r="S22"/>
      <c r="T22"/>
      <c r="U22"/>
      <c r="AG22">
        <v>100</v>
      </c>
      <c r="AH22">
        <v>20</v>
      </c>
    </row>
    <row r="23" spans="3:34" ht="15">
      <c r="C23" s="93">
        <v>12</v>
      </c>
      <c r="D23" s="94" t="str">
        <f ca="1">IF(E23="","",ראשי!F29)</f>
        <v/>
      </c>
      <c r="E23" s="94" t="str">
        <f t="shared" ca="1" si="2"/>
        <v/>
      </c>
      <c r="F23" s="45" t="str">
        <f t="shared" ca="1" si="4"/>
        <v/>
      </c>
      <c r="G23" s="45" t="str">
        <f t="shared" ca="1" si="5"/>
        <v/>
      </c>
      <c r="H23" s="95" t="str">
        <f t="shared" ca="1" si="3"/>
        <v/>
      </c>
      <c r="I23" s="32"/>
      <c r="K23" s="194" t="str">
        <f>IF('משקל מערכות'!$B16=0,"",'משקל מערכות'!C16)</f>
        <v>CARGO WEIGHT ON HOOK</v>
      </c>
      <c r="L23" s="179">
        <f>IF('משקל מערכות'!$B16=0,"",'משקל מערכות'!D16)</f>
        <v>0</v>
      </c>
      <c r="M23" s="179">
        <f>IF('משקל מערכות'!$B16=0,"",'משקל מערכות'!E16)</f>
        <v>3.38</v>
      </c>
      <c r="N23" s="41">
        <f>IF('משקל מערכות'!$B16=0,"",'משקל מערכות'!F16)</f>
        <v>0</v>
      </c>
      <c r="O23" s="41">
        <f>IF('משקל מערכות'!$B16=0,"",'משקל מערכות'!G16)</f>
        <v>0</v>
      </c>
      <c r="P23" s="4">
        <f>IF('משקל מערכות'!$B16=0,"",'משקל מערכות'!H16)</f>
        <v>0</v>
      </c>
      <c r="S23"/>
      <c r="T23" s="282" t="s">
        <v>164</v>
      </c>
      <c r="U23" s="283"/>
      <c r="W23" s="282" t="s">
        <v>102</v>
      </c>
      <c r="X23" s="283"/>
      <c r="Z23" s="282" t="s">
        <v>163</v>
      </c>
      <c r="AA23" s="283"/>
      <c r="AG23">
        <v>105</v>
      </c>
      <c r="AH23">
        <v>21</v>
      </c>
    </row>
    <row r="24" spans="3:34" ht="14.25">
      <c r="C24" s="93">
        <v>13</v>
      </c>
      <c r="D24" s="94" t="str">
        <f ca="1">IF(E24="","",ראשי!D29)</f>
        <v/>
      </c>
      <c r="E24" s="94" t="str">
        <f t="shared" ca="1" si="2"/>
        <v/>
      </c>
      <c r="F24" s="45" t="str">
        <f t="shared" ca="1" si="4"/>
        <v/>
      </c>
      <c r="G24" s="45" t="str">
        <f t="shared" ca="1" si="5"/>
        <v/>
      </c>
      <c r="H24" s="95" t="str">
        <f t="shared" ca="1" si="3"/>
        <v/>
      </c>
      <c r="I24" s="32"/>
      <c r="K24" s="194" t="str">
        <f>IF('משקל מערכות'!$B17=0,"",'משקל מערכות'!C17)</f>
        <v/>
      </c>
      <c r="L24" s="179" t="str">
        <f>IF('משקל מערכות'!$B17=0,"",'משקל מערכות'!D17)</f>
        <v/>
      </c>
      <c r="M24" s="179" t="str">
        <f>IF('משקל מערכות'!$B17=0,"",'משקל מערכות'!E17)</f>
        <v/>
      </c>
      <c r="N24" s="45" t="str">
        <f>IF('משקל מערכות'!$B17=0,"",'משקל מערכות'!F17)</f>
        <v/>
      </c>
      <c r="O24" s="45" t="str">
        <f>IF('משקל מערכות'!$B17=0,"",'משקל מערכות'!G17)</f>
        <v/>
      </c>
      <c r="P24" s="4" t="str">
        <f>IF('משקל מערכות'!$B17=0,"",'משקל מערכות'!H17)</f>
        <v/>
      </c>
      <c r="S24"/>
      <c r="T24" s="208" t="s">
        <v>1</v>
      </c>
      <c r="U24" s="10" t="s">
        <v>0</v>
      </c>
      <c r="W24" s="91" t="s">
        <v>1</v>
      </c>
      <c r="X24" s="10" t="s">
        <v>0</v>
      </c>
      <c r="Z24" s="201" t="s">
        <v>1</v>
      </c>
      <c r="AA24" s="10" t="s">
        <v>0</v>
      </c>
      <c r="AG24">
        <v>110</v>
      </c>
      <c r="AH24">
        <v>22</v>
      </c>
    </row>
    <row r="25" spans="3:34" ht="15" thickBot="1">
      <c r="C25" s="93">
        <v>14</v>
      </c>
      <c r="D25" s="94" t="str">
        <f ca="1">IF(E25="","",ראשי!D31)</f>
        <v/>
      </c>
      <c r="E25" s="94" t="str">
        <f t="shared" ca="1" si="2"/>
        <v/>
      </c>
      <c r="F25" s="45" t="str">
        <f t="shared" ca="1" si="4"/>
        <v/>
      </c>
      <c r="G25" s="45" t="str">
        <f t="shared" ca="1" si="5"/>
        <v/>
      </c>
      <c r="H25" s="95" t="str">
        <f t="shared" ca="1" si="3"/>
        <v/>
      </c>
      <c r="I25" s="32"/>
      <c r="K25" s="195" t="str">
        <f>IF('משקל מערכות'!$B18=0,"",'משקל מערכות'!C18)</f>
        <v/>
      </c>
      <c r="L25" s="176" t="str">
        <f>IF('משקל מערכות'!$B18=0,"",'משקל מערכות'!D18)</f>
        <v/>
      </c>
      <c r="M25" s="176" t="str">
        <f>IF('משקל מערכות'!$B18=0,"",'משקל מערכות'!E18)</f>
        <v/>
      </c>
      <c r="N25" s="46" t="str">
        <f>IF('משקל מערכות'!$B18=0,"",'משקל מערכות'!F18)</f>
        <v/>
      </c>
      <c r="O25" s="46" t="str">
        <f>IF('משקל מערכות'!$B18=0,"",'משקל מערכות'!G18)</f>
        <v/>
      </c>
      <c r="P25" s="5" t="str">
        <f>IF('משקל מערכות'!$B18=0,"",'משקל מערכות'!H18)</f>
        <v/>
      </c>
      <c r="S25"/>
      <c r="T25" s="212">
        <f>'מה"ק'!F23</f>
        <v>3.269</v>
      </c>
      <c r="U25" s="211">
        <f>'מה"ק'!G23</f>
        <v>2660</v>
      </c>
      <c r="W25" s="93">
        <v>3.29</v>
      </c>
      <c r="X25" s="83">
        <v>2800</v>
      </c>
      <c r="Z25" s="202">
        <v>-0.08</v>
      </c>
      <c r="AA25" s="206">
        <v>2370</v>
      </c>
      <c r="AG25">
        <v>115</v>
      </c>
      <c r="AH25">
        <v>23</v>
      </c>
    </row>
    <row r="26" spans="3:34" ht="14.25">
      <c r="C26" s="93"/>
      <c r="D26" s="94"/>
      <c r="E26" s="94"/>
      <c r="F26" s="45"/>
      <c r="G26" s="45"/>
      <c r="H26" s="95"/>
      <c r="I26" s="32"/>
      <c r="S26"/>
      <c r="T26" s="212">
        <f>'מה"ק'!F24</f>
        <v>3.4358255033557046</v>
      </c>
      <c r="U26" s="12">
        <f>'מה"ק'!G24</f>
        <v>2660</v>
      </c>
      <c r="W26" s="93">
        <v>3.43</v>
      </c>
      <c r="X26" s="4">
        <v>2800</v>
      </c>
      <c r="Z26" s="202">
        <v>-0.08</v>
      </c>
      <c r="AA26" s="4">
        <f>OGE</f>
        <v>2660</v>
      </c>
      <c r="AG26">
        <v>120</v>
      </c>
      <c r="AH26">
        <v>24</v>
      </c>
    </row>
    <row r="27" spans="3:34" ht="15" thickBot="1">
      <c r="C27" s="89"/>
      <c r="D27" s="90"/>
      <c r="E27" s="90"/>
      <c r="F27" s="46"/>
      <c r="G27" s="46"/>
      <c r="H27" s="64"/>
      <c r="I27" s="34"/>
      <c r="S27"/>
      <c r="T27" s="209">
        <f>W27</f>
        <v>3.492</v>
      </c>
      <c r="U27" s="4">
        <f>X27</f>
        <v>1310</v>
      </c>
      <c r="W27" s="93">
        <v>3.492</v>
      </c>
      <c r="X27" s="4">
        <v>1310</v>
      </c>
      <c r="Z27" s="202">
        <v>0.08</v>
      </c>
      <c r="AA27" s="4">
        <f>OGE</f>
        <v>2660</v>
      </c>
      <c r="AG27">
        <v>125</v>
      </c>
      <c r="AH27">
        <v>25</v>
      </c>
    </row>
    <row r="28" spans="11:34" ht="15.75" thickBot="1">
      <c r="K28" s="279" t="s">
        <v>60</v>
      </c>
      <c r="L28" s="280"/>
      <c r="M28" s="280"/>
      <c r="N28" s="284"/>
      <c r="O28" s="284"/>
      <c r="P28" s="281"/>
      <c r="S28"/>
      <c r="T28" s="209">
        <f t="shared" si="6" ref="T28:U29">W28</f>
        <v>3.17</v>
      </c>
      <c r="U28" s="4">
        <f t="shared" si="6"/>
        <v>1310</v>
      </c>
      <c r="W28" s="93">
        <v>3.17</v>
      </c>
      <c r="X28" s="4">
        <v>1310</v>
      </c>
      <c r="Z28" s="200">
        <v>0.08</v>
      </c>
      <c r="AA28" s="5">
        <v>2370</v>
      </c>
      <c r="AG28">
        <v>130</v>
      </c>
      <c r="AH28">
        <v>26</v>
      </c>
    </row>
    <row r="29" spans="3:34" ht="14.25">
      <c r="C29" t="s">
        <v>33</v>
      </c>
      <c r="D29" s="297" t="str">
        <f>ראשי!$D$7</f>
        <v>11: POLICE/FIRE + 2</v>
      </c>
      <c r="E29" s="297"/>
      <c r="F29" s="297"/>
      <c r="K29" s="57" t="s">
        <v>2</v>
      </c>
      <c r="L29" s="58" t="s">
        <v>0</v>
      </c>
      <c r="M29" s="58" t="s">
        <v>11</v>
      </c>
      <c r="N29" s="48" t="s">
        <v>3</v>
      </c>
      <c r="O29" s="48" t="s">
        <v>4</v>
      </c>
      <c r="P29" s="10" t="s">
        <v>12</v>
      </c>
      <c r="S29"/>
      <c r="T29" s="209">
        <f t="shared" si="6"/>
        <v>3.17</v>
      </c>
      <c r="U29" s="4">
        <f t="shared" si="6"/>
        <v>2000</v>
      </c>
      <c r="W29" s="93">
        <v>3.17</v>
      </c>
      <c r="X29" s="4">
        <v>2000</v>
      </c>
      <c r="AG29">
        <v>135</v>
      </c>
      <c r="AH29">
        <v>27</v>
      </c>
    </row>
    <row r="30" spans="11:34" ht="15" thickBot="1">
      <c r="K30" s="31"/>
      <c r="L30" s="55" t="str">
        <f>IF(M30="","",ראשי!D34)</f>
        <v/>
      </c>
      <c r="M30" s="55" t="str">
        <f>IF(ראשי!F34="","",ראשי!F34)</f>
        <v/>
      </c>
      <c r="N30" s="41" t="str">
        <f>IF(M30&lt;&gt;"",L30*M30,"")</f>
        <v/>
      </c>
      <c r="O30" s="41" t="str">
        <f>IF(P30&lt;&gt;"",L30*P30,"")</f>
        <v/>
      </c>
      <c r="P30" s="4" t="str">
        <f>IF(ראשי!H34="","",ראשי!H34)</f>
        <v/>
      </c>
      <c r="S30"/>
      <c r="T30" s="214">
        <f>T25</f>
        <v>3.269</v>
      </c>
      <c r="U30" s="213">
        <f>U25</f>
        <v>2660</v>
      </c>
      <c r="W30" s="89">
        <v>3.29</v>
      </c>
      <c r="X30" s="5">
        <v>2800</v>
      </c>
      <c r="AG30">
        <v>140</v>
      </c>
      <c r="AH30">
        <v>28</v>
      </c>
    </row>
    <row r="31" spans="3:34" ht="15.75" thickBot="1">
      <c r="C31" s="294" t="s">
        <v>38</v>
      </c>
      <c r="D31" s="295"/>
      <c r="E31" s="295"/>
      <c r="F31" s="295"/>
      <c r="G31" s="295"/>
      <c r="H31" s="295"/>
      <c r="I31" s="296"/>
      <c r="K31" s="31"/>
      <c r="L31" s="55"/>
      <c r="M31" s="55"/>
      <c r="N31" s="45"/>
      <c r="O31" s="45"/>
      <c r="P31" s="4"/>
      <c r="S31"/>
      <c r="T31"/>
      <c r="U31"/>
      <c r="AG31">
        <v>145</v>
      </c>
      <c r="AH31">
        <v>29</v>
      </c>
    </row>
    <row r="32" spans="3:34" ht="15">
      <c r="C32" s="91" t="s">
        <v>2</v>
      </c>
      <c r="D32" s="92" t="s">
        <v>0</v>
      </c>
      <c r="E32" s="92" t="s">
        <v>11</v>
      </c>
      <c r="F32" s="60" t="s">
        <v>3</v>
      </c>
      <c r="G32" s="60" t="s">
        <v>4</v>
      </c>
      <c r="H32" s="92" t="s">
        <v>12</v>
      </c>
      <c r="I32" s="10" t="s">
        <v>53</v>
      </c>
      <c r="K32" s="31"/>
      <c r="L32" s="55"/>
      <c r="M32" s="55"/>
      <c r="N32" s="45"/>
      <c r="O32" s="45"/>
      <c r="P32" s="4"/>
      <c r="S32"/>
      <c r="T32"/>
      <c r="U32"/>
      <c r="V32" s="279" t="s">
        <v>154</v>
      </c>
      <c r="W32" s="280"/>
      <c r="X32" s="281"/>
      <c r="AG32">
        <v>150</v>
      </c>
      <c r="AH32">
        <v>30</v>
      </c>
    </row>
    <row r="33" spans="3:34" ht="15" thickBot="1">
      <c r="C33" s="31" t="str">
        <f ca="1" t="shared" si="7" ref="C33:C44">IF(INDIRECT("תצורות!A"&amp;(LEFT($D$29,2)-1)*13+ROW(A3))=0,"",INDIRECT("תצורות!A"&amp;(LEFT($D$29,2)-1)*13+ROW(A3)))</f>
        <v>כסא נוסע שמאל קיצוני</v>
      </c>
      <c r="D33" s="94">
        <f ca="1" t="shared" si="8" ref="D33:D44">IF(INDIRECT("תצורות!A"&amp;(LEFT($D$29,2)-1)*13+ROW(A3))=0,"",INDIRECT("תצורות!b"&amp;(LEFT($D$29,2)-1)*13+ROW(A3)))</f>
        <v>10</v>
      </c>
      <c r="E33" s="94">
        <f ca="1" t="shared" si="9" ref="E33:E44">IF(INDIRECT("תצורות!A"&amp;(LEFT($D$29,2)-1)*13+ROW(A3))=0,"",INDIRECT("תצורות!c"&amp;(LEFT($D$29,2)-1)*13+ROW(A3)))</f>
        <v>2.54</v>
      </c>
      <c r="F33" s="41">
        <f ca="1">IF(D33&lt;&gt;"",D33*E33,"")</f>
        <v>25.40</v>
      </c>
      <c r="G33" s="41">
        <f ca="1">IF(D33&lt;&gt;"",D33*H33,"")</f>
        <v>-6.20</v>
      </c>
      <c r="H33" s="94">
        <f ca="1" t="shared" si="10" ref="H33:H44">IF(INDIRECT("תצורות!A"&amp;(LEFT($D$29,2)-1)*13+ROW(A3))=0,"",INDIRECT("תצורות!d"&amp;(LEFT($D$29,2)-1)*13+ROW(A3)))</f>
        <v>-0.62</v>
      </c>
      <c r="I33" s="199">
        <f ca="1">IF(INDIRECT("תצורות!A"&amp;(LEFT($D$29,2)-1)*13+ROW(B3))="","",INT(INDIRECT("תצורות!E"&amp;(LEFT($D$29,2)-1)*13+ROW(B3))))</f>
        <v>1</v>
      </c>
      <c r="K33" s="43"/>
      <c r="L33" s="56"/>
      <c r="M33" s="56"/>
      <c r="N33" s="46"/>
      <c r="O33" s="46"/>
      <c r="P33" s="5"/>
      <c r="S33"/>
      <c r="T33"/>
      <c r="U33"/>
      <c r="V33" s="108"/>
      <c r="W33" s="109" t="s">
        <v>63</v>
      </c>
      <c r="X33" s="10" t="s">
        <v>64</v>
      </c>
      <c r="AG33">
        <v>155</v>
      </c>
      <c r="AH33">
        <v>31</v>
      </c>
    </row>
    <row r="34" spans="3:34" ht="14.25">
      <c r="C34" s="31" t="str">
        <f t="shared" ca="1" si="7"/>
        <v>כסא נוסע ימין קיצוני</v>
      </c>
      <c r="D34" s="94">
        <f t="shared" ca="1" si="8"/>
        <v>10</v>
      </c>
      <c r="E34" s="94">
        <f t="shared" ca="1" si="9"/>
        <v>2.54</v>
      </c>
      <c r="F34" s="41">
        <f ca="1" t="shared" si="11" ref="F34:F44">IF(D34&lt;&gt;"",D34*E34,"")</f>
        <v>25.40</v>
      </c>
      <c r="G34" s="41">
        <f ca="1" t="shared" si="12" ref="G34:G44">IF(D34&lt;&gt;"",D34*H34,"")</f>
        <v>6.20</v>
      </c>
      <c r="H34" s="94">
        <f t="shared" ca="1" si="10"/>
        <v>0.62</v>
      </c>
      <c r="I34" s="199">
        <f ca="1" t="shared" si="13" ref="I34:I44">IF(INDIRECT("תצורות!A"&amp;(LEFT($D$29,2)-1)*13+ROW(B4))="","",INT(INDIRECT("תצורות!E"&amp;(LEFT($D$29,2)-1)*13+ROW(B4))))</f>
        <v>3</v>
      </c>
      <c r="S34"/>
      <c r="T34"/>
      <c r="U34"/>
      <c r="V34" s="108" t="s">
        <v>65</v>
      </c>
      <c r="W34" s="77">
        <f>SLOPE(נתונים!X29:X30,נתונים!W29:W30)</f>
        <v>6666.666666666661</v>
      </c>
      <c r="X34" s="78">
        <f>X29-W29*W34</f>
        <v>-19133.333333333314</v>
      </c>
      <c r="AG34">
        <v>160</v>
      </c>
      <c r="AH34">
        <v>32</v>
      </c>
    </row>
    <row r="35" spans="3:34" ht="14.25">
      <c r="C35" s="31" t="str">
        <f t="shared" ca="1" si="7"/>
        <v/>
      </c>
      <c r="D35" s="94" t="str">
        <f t="shared" ca="1" si="8"/>
        <v/>
      </c>
      <c r="E35" s="94" t="str">
        <f t="shared" ca="1" si="9"/>
        <v/>
      </c>
      <c r="F35" s="41" t="str">
        <f t="shared" ca="1" si="11"/>
        <v/>
      </c>
      <c r="G35" s="41" t="str">
        <f t="shared" ca="1" si="12"/>
        <v/>
      </c>
      <c r="H35" s="94" t="str">
        <f t="shared" ca="1" si="10"/>
        <v/>
      </c>
      <c r="I35" s="199" t="str">
        <f t="shared" ca="1" si="13"/>
        <v/>
      </c>
      <c r="S35"/>
      <c r="T35"/>
      <c r="U35"/>
      <c r="V35" s="108" t="s">
        <v>66</v>
      </c>
      <c r="W35" s="77">
        <f>SLOPE(X26:X27,W26:W27)</f>
        <v>-24032.25806451619</v>
      </c>
      <c r="X35" s="78">
        <f>X26-W26*W35</f>
        <v>85230.64516129054</v>
      </c>
      <c r="AG35">
        <v>165</v>
      </c>
      <c r="AH35">
        <v>33</v>
      </c>
    </row>
    <row r="36" spans="3:34" ht="15" thickBot="1">
      <c r="C36" s="31" t="str">
        <f t="shared" ca="1" si="7"/>
        <v/>
      </c>
      <c r="D36" s="94" t="str">
        <f t="shared" ca="1" si="8"/>
        <v/>
      </c>
      <c r="E36" s="94" t="str">
        <f t="shared" ca="1" si="9"/>
        <v/>
      </c>
      <c r="F36" s="41" t="str">
        <f t="shared" ca="1" si="11"/>
        <v/>
      </c>
      <c r="G36" s="41" t="str">
        <f t="shared" ca="1" si="12"/>
        <v/>
      </c>
      <c r="H36" s="94" t="str">
        <f t="shared" ca="1" si="10"/>
        <v/>
      </c>
      <c r="I36" s="199" t="str">
        <f t="shared" ca="1" si="13"/>
        <v/>
      </c>
      <c r="S36"/>
      <c r="T36"/>
      <c r="U36"/>
      <c r="V36" s="117" t="s">
        <v>105</v>
      </c>
      <c r="W36" s="118">
        <f ca="1">SLOPE($S$4:$S$5,$T$4:$T$5)</f>
        <v>17550.70665028139</v>
      </c>
      <c r="X36" s="119">
        <f ca="1">$S$5-$T$5*$W$21</f>
        <v>-56972.65914297926</v>
      </c>
      <c r="AG36">
        <v>170</v>
      </c>
      <c r="AH36">
        <v>34</v>
      </c>
    </row>
    <row r="37" spans="3:34" ht="14.25">
      <c r="C37" s="31" t="str">
        <f t="shared" ca="1" si="7"/>
        <v/>
      </c>
      <c r="D37" s="94" t="str">
        <f t="shared" ca="1" si="8"/>
        <v/>
      </c>
      <c r="E37" s="94" t="str">
        <f t="shared" ca="1" si="9"/>
        <v/>
      </c>
      <c r="F37" s="41" t="str">
        <f t="shared" ca="1" si="11"/>
        <v/>
      </c>
      <c r="G37" s="41" t="str">
        <f t="shared" ca="1" si="12"/>
        <v/>
      </c>
      <c r="H37" s="94" t="str">
        <f t="shared" ca="1" si="10"/>
        <v/>
      </c>
      <c r="I37" s="199" t="str">
        <f t="shared" ca="1" si="13"/>
        <v/>
      </c>
      <c r="S37"/>
      <c r="T37"/>
      <c r="U37"/>
      <c r="AG37">
        <v>175</v>
      </c>
      <c r="AH37">
        <v>35</v>
      </c>
    </row>
    <row r="38" spans="3:34" ht="14.25">
      <c r="C38" s="31" t="str">
        <f t="shared" ca="1" si="7"/>
        <v/>
      </c>
      <c r="D38" s="94" t="str">
        <f t="shared" ca="1" si="8"/>
        <v/>
      </c>
      <c r="E38" s="94" t="str">
        <f t="shared" ca="1" si="9"/>
        <v/>
      </c>
      <c r="F38" s="41" t="str">
        <f t="shared" ca="1" si="11"/>
        <v/>
      </c>
      <c r="G38" s="41" t="str">
        <f t="shared" ca="1" si="12"/>
        <v/>
      </c>
      <c r="H38" s="94" t="str">
        <f t="shared" ca="1" si="10"/>
        <v/>
      </c>
      <c r="I38" s="199" t="str">
        <f t="shared" ca="1" si="13"/>
        <v/>
      </c>
      <c r="S38"/>
      <c r="T38"/>
      <c r="U38"/>
      <c r="AG38">
        <v>180</v>
      </c>
      <c r="AH38">
        <v>36</v>
      </c>
    </row>
    <row r="39" spans="3:34" ht="14.25">
      <c r="C39" s="31" t="str">
        <f t="shared" ca="1" si="7"/>
        <v/>
      </c>
      <c r="D39" s="94" t="str">
        <f t="shared" ca="1" si="8"/>
        <v/>
      </c>
      <c r="E39" s="94" t="str">
        <f t="shared" ca="1" si="9"/>
        <v/>
      </c>
      <c r="F39" s="41" t="str">
        <f t="shared" ca="1" si="11"/>
        <v/>
      </c>
      <c r="G39" s="41" t="str">
        <f t="shared" ca="1" si="12"/>
        <v/>
      </c>
      <c r="H39" s="94" t="str">
        <f t="shared" ca="1" si="10"/>
        <v/>
      </c>
      <c r="I39" s="199" t="str">
        <f t="shared" ca="1" si="13"/>
        <v/>
      </c>
      <c r="S39"/>
      <c r="T39"/>
      <c r="U39"/>
      <c r="AG39">
        <v>185</v>
      </c>
      <c r="AH39">
        <v>37</v>
      </c>
    </row>
    <row r="40" spans="3:34" ht="14.25">
      <c r="C40" s="31" t="str">
        <f t="shared" ca="1" si="7"/>
        <v/>
      </c>
      <c r="D40" s="94" t="str">
        <f t="shared" ca="1" si="8"/>
        <v/>
      </c>
      <c r="E40" s="94" t="str">
        <f t="shared" ca="1" si="9"/>
        <v/>
      </c>
      <c r="F40" s="41" t="str">
        <f t="shared" ca="1" si="11"/>
        <v/>
      </c>
      <c r="G40" s="41" t="str">
        <f t="shared" ca="1" si="12"/>
        <v/>
      </c>
      <c r="H40" s="94" t="str">
        <f t="shared" ca="1" si="10"/>
        <v/>
      </c>
      <c r="I40" s="65" t="str">
        <f t="shared" ca="1" si="13"/>
        <v/>
      </c>
      <c r="S40"/>
      <c r="T40"/>
      <c r="U40"/>
      <c r="AG40">
        <v>190</v>
      </c>
      <c r="AH40">
        <v>38</v>
      </c>
    </row>
    <row r="41" spans="3:34" ht="14.25">
      <c r="C41" s="31" t="str">
        <f t="shared" ca="1" si="7"/>
        <v/>
      </c>
      <c r="D41" s="94" t="str">
        <f t="shared" ca="1" si="8"/>
        <v/>
      </c>
      <c r="E41" s="94" t="str">
        <f t="shared" ca="1" si="9"/>
        <v/>
      </c>
      <c r="F41" s="41" t="str">
        <f t="shared" ca="1" si="11"/>
        <v/>
      </c>
      <c r="G41" s="41" t="str">
        <f t="shared" ca="1" si="12"/>
        <v/>
      </c>
      <c r="H41" s="94" t="str">
        <f t="shared" ca="1" si="10"/>
        <v/>
      </c>
      <c r="I41" s="65" t="str">
        <f t="shared" ca="1" si="13"/>
        <v/>
      </c>
      <c r="S41"/>
      <c r="T41"/>
      <c r="U41"/>
      <c r="AG41">
        <v>195</v>
      </c>
      <c r="AH41">
        <v>39</v>
      </c>
    </row>
    <row r="42" spans="3:34" ht="14.25">
      <c r="C42" s="31" t="str">
        <f t="shared" ca="1" si="7"/>
        <v/>
      </c>
      <c r="D42" s="94" t="str">
        <f t="shared" ca="1" si="8"/>
        <v/>
      </c>
      <c r="E42" s="94" t="str">
        <f t="shared" ca="1" si="9"/>
        <v/>
      </c>
      <c r="F42" s="41" t="str">
        <f t="shared" ca="1" si="11"/>
        <v/>
      </c>
      <c r="G42" s="41" t="str">
        <f t="shared" ca="1" si="12"/>
        <v/>
      </c>
      <c r="H42" s="94" t="str">
        <f t="shared" ca="1" si="10"/>
        <v/>
      </c>
      <c r="I42" s="65" t="str">
        <f t="shared" ca="1" si="13"/>
        <v/>
      </c>
      <c r="S42"/>
      <c r="T42"/>
      <c r="U42"/>
      <c r="AG42">
        <v>200</v>
      </c>
      <c r="AH42">
        <v>40</v>
      </c>
    </row>
    <row r="43" spans="3:34" ht="14.25">
      <c r="C43" s="31" t="str">
        <f t="shared" ca="1" si="7"/>
        <v/>
      </c>
      <c r="D43" s="94" t="str">
        <f t="shared" ca="1" si="8"/>
        <v/>
      </c>
      <c r="E43" s="94" t="str">
        <f t="shared" ca="1" si="9"/>
        <v/>
      </c>
      <c r="F43" s="41" t="str">
        <f t="shared" ca="1" si="11"/>
        <v/>
      </c>
      <c r="G43" s="41" t="str">
        <f t="shared" ca="1" si="12"/>
        <v/>
      </c>
      <c r="H43" s="94" t="str">
        <f t="shared" ca="1" si="10"/>
        <v/>
      </c>
      <c r="I43" s="65" t="str">
        <f t="shared" ca="1" si="13"/>
        <v/>
      </c>
      <c r="S43"/>
      <c r="T43"/>
      <c r="U43"/>
      <c r="AG43">
        <v>205</v>
      </c>
      <c r="AH43">
        <v>41</v>
      </c>
    </row>
    <row r="44" spans="3:34" ht="15" thickBot="1">
      <c r="C44" s="43" t="str">
        <f t="shared" ca="1" si="7"/>
        <v/>
      </c>
      <c r="D44" s="90" t="str">
        <f t="shared" ca="1" si="8"/>
        <v/>
      </c>
      <c r="E44" s="90" t="str">
        <f t="shared" ca="1" si="9"/>
        <v/>
      </c>
      <c r="F44" s="42" t="str">
        <f t="shared" ca="1" si="11"/>
        <v/>
      </c>
      <c r="G44" s="42" t="str">
        <f t="shared" ca="1" si="12"/>
        <v/>
      </c>
      <c r="H44" s="90" t="str">
        <f t="shared" ca="1" si="10"/>
        <v/>
      </c>
      <c r="I44" s="66" t="str">
        <f t="shared" ca="1" si="13"/>
        <v/>
      </c>
      <c r="S44"/>
      <c r="T44"/>
      <c r="U44"/>
      <c r="AG44">
        <v>210</v>
      </c>
      <c r="AH44">
        <v>42</v>
      </c>
    </row>
    <row r="45" spans="19:34" ht="14.25">
      <c r="S45"/>
      <c r="T45"/>
      <c r="U45"/>
      <c r="AG45">
        <v>215</v>
      </c>
      <c r="AH45">
        <v>43</v>
      </c>
    </row>
    <row r="46" spans="19:34" ht="15" thickBot="1">
      <c r="S46"/>
      <c r="T46"/>
      <c r="U46"/>
      <c r="AG46">
        <v>220</v>
      </c>
      <c r="AH46">
        <v>44</v>
      </c>
    </row>
    <row r="47" spans="3:34" ht="15">
      <c r="C47" s="279" t="s">
        <v>42</v>
      </c>
      <c r="D47" s="280"/>
      <c r="E47" s="280"/>
      <c r="F47" s="284"/>
      <c r="G47" s="284"/>
      <c r="H47" s="281"/>
      <c r="S47"/>
      <c r="T47"/>
      <c r="U47"/>
      <c r="AG47">
        <v>225</v>
      </c>
      <c r="AH47">
        <v>45</v>
      </c>
    </row>
    <row r="48" spans="3:34" ht="14.25">
      <c r="C48" s="91" t="s">
        <v>6</v>
      </c>
      <c r="D48" s="92" t="s">
        <v>0</v>
      </c>
      <c r="E48" s="92" t="s">
        <v>11</v>
      </c>
      <c r="F48" s="48" t="s">
        <v>3</v>
      </c>
      <c r="G48" s="48" t="s">
        <v>4</v>
      </c>
      <c r="H48" s="10" t="s">
        <v>12</v>
      </c>
      <c r="S48"/>
      <c r="T48"/>
      <c r="U48"/>
      <c r="AG48">
        <v>230</v>
      </c>
      <c r="AH48">
        <v>46</v>
      </c>
    </row>
    <row r="49" spans="3:34" ht="14.25">
      <c r="C49" s="93" t="s">
        <v>85</v>
      </c>
      <c r="D49" s="45">
        <f ca="1">D6+SUMIF(D$14:D$15,"&lt;&gt;",D$14:D$15)+SUMIF(D$19:D$27,"&lt;&gt;",D$19:D$27)+SUMIF(D$33:D$44,"&lt;&gt;",D$33:D$44)+SUMIF(L$30:L$33,"&lt;&gt;",L$30:L$33)+SUMIF(L$6:L$19,"&lt;&gt;",L$6:L$19)+SUMIF(L$23:L$25,"&lt;&gt;",L$23:L$25)</f>
        <v>1851.90</v>
      </c>
      <c r="E49" s="41">
        <f ca="1">F49/D49</f>
        <v>3.3516917760138236</v>
      </c>
      <c r="F49" s="45">
        <f ca="1">F6+SUMIF(F$14:F$15,"&lt;&gt;",F$14:F$15)+SUMIF(F$19:F$27,"&lt;&gt;",F$19:F$27)+SUMIF(F$33:F$44,"&lt;&gt;",F$33:F$44)+SUMIF(N$29:N$33,"&lt;&gt;",N$29:N$33)+SUMIF(N$6:N$19,"&lt;&gt;",N$6:N$19)+SUMIF(N$23:N$25,"&lt;&gt;",N$23:N$25)</f>
        <v>6206.998</v>
      </c>
      <c r="G49" s="45">
        <f ca="1">G6+SUMIF(G$14:G$15,"&lt;&gt;",G$14:G$15)+SUMIF(G$19:G$27,"&lt;&gt;",G$19:G$27)+SUMIF(G$33:G$44,"&lt;&gt;",G$33:G$44)+SUMIF(O$29:O$33,"&lt;&gt;",O$29:O$33)+SUMIF(O$6:O$19,"&lt;&gt;",O$6:O$19)+SUMIF(O$23:O$25,"&lt;&gt;",O$23:O$25)</f>
        <v>2.8042</v>
      </c>
      <c r="H49" s="16">
        <f ca="1">G49/D49</f>
        <v>0.0015142286300556186</v>
      </c>
      <c r="S49"/>
      <c r="T49"/>
      <c r="U49"/>
      <c r="AG49">
        <v>235</v>
      </c>
      <c r="AH49">
        <v>47</v>
      </c>
    </row>
    <row r="50" spans="3:34" ht="14.25">
      <c r="C50" s="93" t="s">
        <v>84</v>
      </c>
      <c r="D50" s="41">
        <f ca="1" t="shared" si="14" ref="D50:D52">D7+SUMIF(D$14:D$15,"&lt;&gt;",D$14:D$15)+SUMIF(D$19:D$27,"&lt;&gt;",D$19:D$27)+SUMIF(D$33:D$44,"&lt;&gt;",D$33:D$44)+SUMIF(L$30:L$33,"&lt;&gt;",L$30:L$33)+SUMIF(L$6:L$19,"&lt;&gt;",L$6:L$19)+SUMIF(L$23:L$25,"&lt;&gt;",L$23:L$25)</f>
        <v>1855.80</v>
      </c>
      <c r="E50" s="41">
        <f ca="1">F50/D50</f>
        <v>3.3173962711499083</v>
      </c>
      <c r="F50" s="45">
        <f ca="1" t="shared" si="15" ref="F50:F52">F7+SUMIF(F$14:F$15,"&lt;&gt;",F$14:F$15)+SUMIF(F$19:F$27,"&lt;&gt;",F$19:F$27)+SUMIF(F$33:F$44,"&lt;&gt;",F$33:F$44)+SUMIF(N$29:N$33,"&lt;&gt;",N$29:N$33)+SUMIF(N$6:N$19,"&lt;&gt;",N$6:N$19)+SUMIF(N$23:N$25,"&lt;&gt;",N$23:N$25)</f>
        <v>6156.424</v>
      </c>
      <c r="G50" s="45">
        <f ca="1" t="shared" si="16" ref="G50:G52">G7+SUMIF(G$14:G$15,"&lt;&gt;",G$14:G$15)+SUMIF(G$19:G$27,"&lt;&gt;",G$19:G$27)+SUMIF(G$33:G$44,"&lt;&gt;",G$33:G$44)+SUMIF(O$29:O$33,"&lt;&gt;",O$29:O$33)+SUMIF(O$6:O$19,"&lt;&gt;",O$6:O$19)+SUMIF(O$23:O$25,"&lt;&gt;",O$23:O$25)</f>
        <v>-24.53</v>
      </c>
      <c r="H50" s="16">
        <f ca="1">G50/D50</f>
        <v>-0.013218019183101629</v>
      </c>
      <c r="S50"/>
      <c r="T50"/>
      <c r="U50"/>
      <c r="AG50">
        <v>240</v>
      </c>
      <c r="AH50">
        <v>48</v>
      </c>
    </row>
    <row r="51" spans="3:34" ht="14.25">
      <c r="C51" s="110" t="s">
        <v>86</v>
      </c>
      <c r="D51" s="111">
        <f t="shared" ca="1" si="14"/>
        <v>1857.10</v>
      </c>
      <c r="E51" s="112">
        <f ca="1">F51/D51</f>
        <v>3.334871573959399</v>
      </c>
      <c r="F51" s="111">
        <f t="shared" ca="1" si="15"/>
        <v>6193.19</v>
      </c>
      <c r="G51" s="111">
        <f t="shared" ca="1" si="16"/>
        <v>-24.543</v>
      </c>
      <c r="H51" s="113">
        <f ca="1">G51/D51</f>
        <v>-0.01321576651768887</v>
      </c>
      <c r="S51"/>
      <c r="T51"/>
      <c r="U51"/>
      <c r="AG51">
        <v>245</v>
      </c>
      <c r="AH51">
        <v>49</v>
      </c>
    </row>
    <row r="52" spans="3:34" ht="15" thickBot="1">
      <c r="C52" s="89" t="s">
        <v>87</v>
      </c>
      <c r="D52" s="42">
        <f t="shared" ca="1" si="14"/>
        <v>1859.40</v>
      </c>
      <c r="E52" s="42">
        <f ca="1">F52/D52</f>
        <v>3.335100570076369</v>
      </c>
      <c r="F52" s="46">
        <f t="shared" ca="1" si="15"/>
        <v>6201.286</v>
      </c>
      <c r="G52" s="46">
        <f t="shared" ca="1" si="16"/>
        <v>-24.566000000000003</v>
      </c>
      <c r="H52" s="17">
        <f ca="1">G52/D52</f>
        <v>-0.013211788749058838</v>
      </c>
      <c r="S52"/>
      <c r="T52"/>
      <c r="U52"/>
      <c r="AG52">
        <v>250</v>
      </c>
      <c r="AH52">
        <v>50</v>
      </c>
    </row>
    <row r="53" spans="19:34" ht="14.25">
      <c r="S53"/>
      <c r="T53"/>
      <c r="U53"/>
      <c r="AG53">
        <v>255</v>
      </c>
      <c r="AH53">
        <v>51</v>
      </c>
    </row>
    <row r="54" spans="19:34" ht="14.25">
      <c r="S54"/>
      <c r="T54"/>
      <c r="U54"/>
      <c r="AG54">
        <v>260</v>
      </c>
      <c r="AH54">
        <v>52</v>
      </c>
    </row>
    <row r="55" spans="19:34" ht="14.25">
      <c r="S55"/>
      <c r="T55"/>
      <c r="U55"/>
      <c r="AG55">
        <v>265</v>
      </c>
      <c r="AH55">
        <v>53</v>
      </c>
    </row>
    <row r="56" spans="19:34" ht="14.25">
      <c r="S56"/>
      <c r="T56"/>
      <c r="U56"/>
      <c r="AG56">
        <v>270</v>
      </c>
      <c r="AH56">
        <v>54</v>
      </c>
    </row>
    <row r="57" spans="19:34" ht="14.25">
      <c r="S57"/>
      <c r="T57"/>
      <c r="U57"/>
      <c r="AG57">
        <v>275</v>
      </c>
      <c r="AH57">
        <v>55</v>
      </c>
    </row>
    <row r="58" spans="19:34" ht="14.25">
      <c r="S58"/>
      <c r="T58"/>
      <c r="U58"/>
      <c r="AG58">
        <v>280</v>
      </c>
      <c r="AH58">
        <v>56</v>
      </c>
    </row>
    <row r="59" spans="19:34" ht="14.25">
      <c r="S59"/>
      <c r="T59"/>
      <c r="U59"/>
      <c r="AG59">
        <v>285</v>
      </c>
      <c r="AH59">
        <v>57</v>
      </c>
    </row>
    <row r="60" spans="19:34" ht="14.25">
      <c r="S60"/>
      <c r="T60"/>
      <c r="U60"/>
      <c r="AG60">
        <v>290</v>
      </c>
      <c r="AH60">
        <v>58</v>
      </c>
    </row>
    <row r="61" spans="19:34" ht="14.25">
      <c r="S61"/>
      <c r="T61"/>
      <c r="U61"/>
      <c r="AG61">
        <v>295</v>
      </c>
      <c r="AH61">
        <v>59</v>
      </c>
    </row>
    <row r="62" spans="19:34" ht="14.25">
      <c r="S62"/>
      <c r="T62"/>
      <c r="U62"/>
      <c r="AG62">
        <v>300</v>
      </c>
      <c r="AH62">
        <v>60</v>
      </c>
    </row>
    <row r="63" spans="19:34" ht="14.25">
      <c r="S63"/>
      <c r="T63"/>
      <c r="U63"/>
      <c r="AG63">
        <v>305</v>
      </c>
      <c r="AH63">
        <v>61</v>
      </c>
    </row>
    <row r="64" spans="19:34" ht="14.25">
      <c r="S64"/>
      <c r="T64"/>
      <c r="U64"/>
      <c r="AG64">
        <v>310</v>
      </c>
      <c r="AH64">
        <v>62</v>
      </c>
    </row>
    <row r="65" spans="19:34" ht="14.25">
      <c r="S65"/>
      <c r="T65"/>
      <c r="U65"/>
      <c r="AG65">
        <v>315</v>
      </c>
      <c r="AH65">
        <v>63</v>
      </c>
    </row>
    <row r="66" spans="19:34" ht="14.25">
      <c r="S66"/>
      <c r="T66"/>
      <c r="U66"/>
      <c r="AG66">
        <v>320</v>
      </c>
      <c r="AH66">
        <v>64</v>
      </c>
    </row>
    <row r="67" spans="19:34" ht="14.25">
      <c r="S67"/>
      <c r="T67"/>
      <c r="U67"/>
      <c r="AG67">
        <v>325</v>
      </c>
      <c r="AH67">
        <v>65</v>
      </c>
    </row>
    <row r="68" spans="19:34" ht="14.25">
      <c r="S68"/>
      <c r="T68"/>
      <c r="U68"/>
      <c r="AG68">
        <v>330</v>
      </c>
      <c r="AH68">
        <v>66</v>
      </c>
    </row>
    <row r="69" spans="19:34" ht="14.25">
      <c r="S69"/>
      <c r="T69"/>
      <c r="U69"/>
      <c r="AG69">
        <v>335</v>
      </c>
      <c r="AH69">
        <v>67</v>
      </c>
    </row>
    <row r="70" spans="19:34" ht="14.25">
      <c r="S70"/>
      <c r="T70"/>
      <c r="U70"/>
      <c r="AG70">
        <v>340</v>
      </c>
      <c r="AH70">
        <v>68</v>
      </c>
    </row>
    <row r="71" spans="19:34" ht="14.25">
      <c r="S71"/>
      <c r="T71"/>
      <c r="U71"/>
      <c r="AG71">
        <v>345</v>
      </c>
      <c r="AH71">
        <v>69</v>
      </c>
    </row>
    <row r="72" spans="19:34" ht="14.25">
      <c r="S72"/>
      <c r="T72"/>
      <c r="U72"/>
      <c r="AG72">
        <v>350</v>
      </c>
      <c r="AH72">
        <v>70</v>
      </c>
    </row>
    <row r="73" spans="19:34" ht="14.25">
      <c r="S73"/>
      <c r="T73"/>
      <c r="U73"/>
      <c r="AG73">
        <v>355</v>
      </c>
      <c r="AH73">
        <v>71</v>
      </c>
    </row>
    <row r="74" spans="19:34" ht="14.25">
      <c r="S74"/>
      <c r="T74"/>
      <c r="U74"/>
      <c r="AG74">
        <v>360</v>
      </c>
      <c r="AH74">
        <v>72</v>
      </c>
    </row>
    <row r="75" spans="19:34" ht="14.25">
      <c r="S75"/>
      <c r="T75"/>
      <c r="U75"/>
      <c r="AG75">
        <v>365</v>
      </c>
      <c r="AH75">
        <v>73</v>
      </c>
    </row>
    <row r="76" spans="19:34" ht="14.25">
      <c r="S76"/>
      <c r="T76"/>
      <c r="U76"/>
      <c r="AG76">
        <v>370</v>
      </c>
      <c r="AH76">
        <v>74</v>
      </c>
    </row>
    <row r="77" spans="19:34" ht="14.25">
      <c r="S77"/>
      <c r="T77"/>
      <c r="U77"/>
      <c r="AG77">
        <v>375</v>
      </c>
      <c r="AH77">
        <v>75</v>
      </c>
    </row>
    <row r="78" spans="19:34" ht="14.25">
      <c r="S78"/>
      <c r="T78"/>
      <c r="U78"/>
      <c r="AG78">
        <v>380</v>
      </c>
      <c r="AH78">
        <v>76</v>
      </c>
    </row>
    <row r="79" spans="19:34" ht="14.25">
      <c r="S79"/>
      <c r="T79"/>
      <c r="U79"/>
      <c r="AG79">
        <v>385</v>
      </c>
      <c r="AH79">
        <v>77</v>
      </c>
    </row>
    <row r="80" spans="19:34" ht="14.25">
      <c r="S80"/>
      <c r="T80"/>
      <c r="U80"/>
      <c r="AG80">
        <v>390</v>
      </c>
      <c r="AH80">
        <v>78</v>
      </c>
    </row>
    <row r="81" spans="19:34" ht="14.25">
      <c r="S81"/>
      <c r="T81"/>
      <c r="U81"/>
      <c r="AG81">
        <v>395</v>
      </c>
      <c r="AH81">
        <v>79</v>
      </c>
    </row>
    <row r="82" spans="19:34" ht="14.25">
      <c r="S82"/>
      <c r="T82"/>
      <c r="U82"/>
      <c r="AG82">
        <v>400</v>
      </c>
      <c r="AH82">
        <v>80</v>
      </c>
    </row>
    <row r="83" spans="19:34" ht="14.25">
      <c r="S83"/>
      <c r="T83"/>
      <c r="U83"/>
      <c r="AG83">
        <v>405</v>
      </c>
      <c r="AH83">
        <v>81</v>
      </c>
    </row>
    <row r="84" spans="19:34" ht="14.25">
      <c r="S84"/>
      <c r="T84"/>
      <c r="U84"/>
      <c r="AG84">
        <v>410</v>
      </c>
      <c r="AH84">
        <v>82</v>
      </c>
    </row>
    <row r="85" spans="19:34" ht="14.25">
      <c r="S85"/>
      <c r="T85"/>
      <c r="U85"/>
      <c r="AG85">
        <v>415</v>
      </c>
      <c r="AH85">
        <v>83</v>
      </c>
    </row>
    <row r="86" spans="19:34" ht="14.25">
      <c r="S86"/>
      <c r="T86"/>
      <c r="U86"/>
      <c r="AG86">
        <v>420</v>
      </c>
      <c r="AH86">
        <v>84</v>
      </c>
    </row>
    <row r="87" spans="19:34" ht="14.25">
      <c r="S87"/>
      <c r="T87"/>
      <c r="U87"/>
      <c r="AG87">
        <v>425</v>
      </c>
      <c r="AH87">
        <v>85</v>
      </c>
    </row>
    <row r="88" spans="19:34" ht="14.25">
      <c r="S88"/>
      <c r="T88"/>
      <c r="U88"/>
      <c r="AG88">
        <v>430</v>
      </c>
      <c r="AH88">
        <v>86</v>
      </c>
    </row>
    <row r="89" spans="33:34" ht="14.25">
      <c r="AG89">
        <v>435</v>
      </c>
      <c r="AH89">
        <v>87</v>
      </c>
    </row>
    <row r="90" spans="33:34" ht="14.25">
      <c r="AG90">
        <v>440</v>
      </c>
      <c r="AH90">
        <v>88</v>
      </c>
    </row>
    <row r="91" spans="33:34" ht="14.25">
      <c r="AG91">
        <v>445</v>
      </c>
      <c r="AH91">
        <v>89</v>
      </c>
    </row>
    <row r="92" spans="33:34" ht="14.25">
      <c r="AG92">
        <v>450</v>
      </c>
      <c r="AH92">
        <v>90</v>
      </c>
    </row>
    <row r="93" spans="33:34" ht="14.25">
      <c r="AG93">
        <v>455</v>
      </c>
      <c r="AH93">
        <v>91</v>
      </c>
    </row>
    <row r="94" spans="33:34" ht="14.25">
      <c r="AG94">
        <v>460</v>
      </c>
      <c r="AH94">
        <v>92</v>
      </c>
    </row>
    <row r="95" spans="33:34" ht="14.25">
      <c r="AG95">
        <v>465</v>
      </c>
      <c r="AH95">
        <v>93</v>
      </c>
    </row>
    <row r="96" spans="33:34" ht="14.25">
      <c r="AG96">
        <v>470</v>
      </c>
      <c r="AH96">
        <v>94</v>
      </c>
    </row>
    <row r="97" spans="33:34" ht="14.25">
      <c r="AG97">
        <v>475</v>
      </c>
      <c r="AH97">
        <v>95</v>
      </c>
    </row>
    <row r="98" spans="33:34" ht="14.25">
      <c r="AG98">
        <v>480</v>
      </c>
      <c r="AH98">
        <v>96</v>
      </c>
    </row>
    <row r="99" spans="33:34" ht="14.25">
      <c r="AG99">
        <v>485</v>
      </c>
      <c r="AH99">
        <v>97</v>
      </c>
    </row>
    <row r="100" spans="33:34" ht="14.25">
      <c r="AG100">
        <v>490</v>
      </c>
      <c r="AH100">
        <v>98</v>
      </c>
    </row>
    <row r="101" spans="33:34" ht="14.25">
      <c r="AG101">
        <v>495</v>
      </c>
      <c r="AH101">
        <v>99</v>
      </c>
    </row>
    <row r="102" spans="33:34" ht="14.25">
      <c r="AG102">
        <v>500</v>
      </c>
      <c r="AH102">
        <v>100</v>
      </c>
    </row>
    <row r="103" spans="33:34" ht="14.25">
      <c r="AG103">
        <v>505</v>
      </c>
      <c r="AH103">
        <v>101</v>
      </c>
    </row>
    <row r="104" spans="33:34" ht="14.25">
      <c r="AG104">
        <v>510</v>
      </c>
      <c r="AH104">
        <v>102</v>
      </c>
    </row>
    <row r="105" spans="33:34" ht="14.25">
      <c r="AG105">
        <v>515</v>
      </c>
      <c r="AH105">
        <v>103</v>
      </c>
    </row>
    <row r="106" spans="33:34" ht="14.25">
      <c r="AG106">
        <v>520</v>
      </c>
      <c r="AH106">
        <v>104</v>
      </c>
    </row>
    <row r="107" spans="33:34" ht="14.25">
      <c r="AG107">
        <v>525</v>
      </c>
      <c r="AH107">
        <v>105</v>
      </c>
    </row>
    <row r="108" spans="33:34" ht="14.25">
      <c r="AG108">
        <v>530</v>
      </c>
      <c r="AH108">
        <v>106</v>
      </c>
    </row>
    <row r="109" spans="33:34" ht="14.25">
      <c r="AG109">
        <v>535</v>
      </c>
      <c r="AH109">
        <v>107</v>
      </c>
    </row>
    <row r="110" spans="33:34" ht="14.25">
      <c r="AG110">
        <v>540</v>
      </c>
      <c r="AH110">
        <v>108</v>
      </c>
    </row>
    <row r="111" spans="33:34" ht="14.25">
      <c r="AG111">
        <v>545</v>
      </c>
      <c r="AH111">
        <v>109</v>
      </c>
    </row>
    <row r="112" spans="33:34" ht="14.25">
      <c r="AG112">
        <v>550</v>
      </c>
      <c r="AH112">
        <v>110</v>
      </c>
    </row>
    <row r="113" spans="33:34" ht="14.25">
      <c r="AG113">
        <v>555</v>
      </c>
      <c r="AH113">
        <v>111</v>
      </c>
    </row>
    <row r="114" spans="33:34" ht="14.25">
      <c r="AG114">
        <v>560</v>
      </c>
      <c r="AH114">
        <v>112</v>
      </c>
    </row>
    <row r="115" spans="33:34" ht="14.25">
      <c r="AG115">
        <v>565</v>
      </c>
      <c r="AH115">
        <v>113</v>
      </c>
    </row>
    <row r="116" spans="33:34" ht="14.25">
      <c r="AG116">
        <v>570</v>
      </c>
      <c r="AH116">
        <v>114</v>
      </c>
    </row>
    <row r="117" spans="33:34" ht="14.25">
      <c r="AG117">
        <v>575</v>
      </c>
      <c r="AH117">
        <v>115</v>
      </c>
    </row>
    <row r="118" spans="33:34" ht="14.25">
      <c r="AG118">
        <v>580</v>
      </c>
      <c r="AH118">
        <v>116</v>
      </c>
    </row>
    <row r="119" spans="33:34" ht="14.25">
      <c r="AG119">
        <v>585</v>
      </c>
      <c r="AH119">
        <v>117</v>
      </c>
    </row>
    <row r="120" spans="33:34" ht="14.25">
      <c r="AG120">
        <v>590</v>
      </c>
      <c r="AH120">
        <v>118</v>
      </c>
    </row>
    <row r="121" spans="33:34" ht="14.25">
      <c r="AG121">
        <v>595</v>
      </c>
      <c r="AH121">
        <v>119</v>
      </c>
    </row>
    <row r="122" spans="33:34" ht="14.25">
      <c r="AG122">
        <v>600</v>
      </c>
      <c r="AH122">
        <v>120</v>
      </c>
    </row>
    <row r="123" spans="33:34" ht="14.25">
      <c r="AG123">
        <v>605</v>
      </c>
      <c r="AH123">
        <v>121</v>
      </c>
    </row>
    <row r="124" spans="33:34" ht="14.25">
      <c r="AG124">
        <v>610</v>
      </c>
      <c r="AH124">
        <v>122</v>
      </c>
    </row>
    <row r="125" spans="33:34" ht="14.25">
      <c r="AG125">
        <v>615</v>
      </c>
      <c r="AH125">
        <v>123</v>
      </c>
    </row>
    <row r="126" spans="33:34" ht="14.25">
      <c r="AG126">
        <v>620</v>
      </c>
      <c r="AH126">
        <v>124</v>
      </c>
    </row>
    <row r="127" spans="33:34" ht="14.25">
      <c r="AG127">
        <v>625</v>
      </c>
      <c r="AH127">
        <v>125</v>
      </c>
    </row>
    <row r="128" spans="33:34" ht="14.25">
      <c r="AG128">
        <v>630</v>
      </c>
      <c r="AH128">
        <v>126</v>
      </c>
    </row>
    <row r="129" spans="33:34" ht="14.25">
      <c r="AG129">
        <v>635</v>
      </c>
      <c r="AH129">
        <v>127</v>
      </c>
    </row>
    <row r="130" spans="33:34" ht="14.25">
      <c r="AG130">
        <v>640</v>
      </c>
      <c r="AH130">
        <v>128</v>
      </c>
    </row>
    <row r="131" spans="33:34" ht="14.25">
      <c r="AG131">
        <v>645</v>
      </c>
      <c r="AH131">
        <v>129</v>
      </c>
    </row>
    <row r="132" spans="33:34" ht="14.25">
      <c r="AG132">
        <v>650</v>
      </c>
      <c r="AH132">
        <v>130</v>
      </c>
    </row>
    <row r="133" spans="33:34" ht="14.25">
      <c r="AG133">
        <v>655</v>
      </c>
      <c r="AH133">
        <v>131</v>
      </c>
    </row>
    <row r="134" spans="33:34" ht="14.25">
      <c r="AG134">
        <v>660</v>
      </c>
      <c r="AH134">
        <v>132</v>
      </c>
    </row>
    <row r="135" spans="33:34" ht="14.25">
      <c r="AG135">
        <v>665</v>
      </c>
      <c r="AH135">
        <v>133</v>
      </c>
    </row>
    <row r="136" spans="33:34" ht="14.25">
      <c r="AG136">
        <v>670</v>
      </c>
      <c r="AH136">
        <v>134</v>
      </c>
    </row>
    <row r="137" spans="33:34" ht="14.25">
      <c r="AG137">
        <v>675</v>
      </c>
      <c r="AH137">
        <v>135</v>
      </c>
    </row>
    <row r="138" spans="33:34" ht="14.25">
      <c r="AG138">
        <v>680</v>
      </c>
      <c r="AH138">
        <v>136</v>
      </c>
    </row>
    <row r="139" spans="33:34" ht="14.25">
      <c r="AG139">
        <v>685</v>
      </c>
      <c r="AH139">
        <v>137</v>
      </c>
    </row>
    <row r="140" spans="33:34" ht="14.25">
      <c r="AG140">
        <v>690</v>
      </c>
      <c r="AH140">
        <v>138</v>
      </c>
    </row>
    <row r="141" spans="33:34" ht="14.25">
      <c r="AG141">
        <v>695</v>
      </c>
      <c r="AH141">
        <v>139</v>
      </c>
    </row>
    <row r="142" spans="33:34" ht="14.25">
      <c r="AG142">
        <v>700</v>
      </c>
      <c r="AH142">
        <v>140</v>
      </c>
    </row>
    <row r="143" spans="33:34" ht="14.25">
      <c r="AG143">
        <v>705</v>
      </c>
      <c r="AH143">
        <v>141</v>
      </c>
    </row>
    <row r="144" spans="33:34" ht="14.25">
      <c r="AG144">
        <v>710</v>
      </c>
      <c r="AH144">
        <v>142</v>
      </c>
    </row>
    <row r="145" spans="33:34" ht="14.25">
      <c r="AG145">
        <v>715</v>
      </c>
      <c r="AH145">
        <v>143</v>
      </c>
    </row>
    <row r="146" spans="33:34" ht="14.25">
      <c r="AG146">
        <v>720</v>
      </c>
      <c r="AH146">
        <v>144</v>
      </c>
    </row>
    <row r="147" spans="33:34" ht="14.25">
      <c r="AG147">
        <v>725</v>
      </c>
      <c r="AH147">
        <v>145</v>
      </c>
    </row>
    <row r="148" spans="33:34" ht="14.25">
      <c r="AG148">
        <v>730</v>
      </c>
      <c r="AH148">
        <v>146</v>
      </c>
    </row>
    <row r="149" spans="33:34" ht="14.25">
      <c r="AG149">
        <v>735</v>
      </c>
      <c r="AH149">
        <v>147</v>
      </c>
    </row>
    <row r="150" spans="33:34" ht="14.25">
      <c r="AG150">
        <v>740</v>
      </c>
      <c r="AH150">
        <v>148</v>
      </c>
    </row>
    <row r="151" spans="33:34" ht="14.25">
      <c r="AG151">
        <v>745</v>
      </c>
      <c r="AH151">
        <v>149</v>
      </c>
    </row>
    <row r="152" spans="33:34" ht="14.25">
      <c r="AG152">
        <v>750</v>
      </c>
      <c r="AH152">
        <v>150</v>
      </c>
    </row>
    <row r="153" spans="33:34" ht="14.25">
      <c r="AG153">
        <v>755</v>
      </c>
      <c r="AH153">
        <v>151</v>
      </c>
    </row>
    <row r="154" spans="33:34" ht="14.25">
      <c r="AG154">
        <v>760</v>
      </c>
      <c r="AH154">
        <v>152</v>
      </c>
    </row>
    <row r="155" spans="33:34" ht="14.25">
      <c r="AG155">
        <v>765</v>
      </c>
      <c r="AH155">
        <v>153</v>
      </c>
    </row>
    <row r="156" spans="33:34" ht="14.25">
      <c r="AG156">
        <v>770</v>
      </c>
      <c r="AH156">
        <v>154</v>
      </c>
    </row>
    <row r="157" spans="33:34" ht="14.25">
      <c r="AG157">
        <v>775</v>
      </c>
      <c r="AH157">
        <v>155</v>
      </c>
    </row>
    <row r="158" spans="33:34" ht="14.25">
      <c r="AG158">
        <v>780</v>
      </c>
      <c r="AH158">
        <v>156</v>
      </c>
    </row>
    <row r="159" spans="33:34" ht="14.25">
      <c r="AG159">
        <v>785</v>
      </c>
      <c r="AH159">
        <v>157</v>
      </c>
    </row>
    <row r="160" spans="33:34" ht="14.25">
      <c r="AG160">
        <v>790</v>
      </c>
      <c r="AH160">
        <v>158</v>
      </c>
    </row>
    <row r="161" spans="33:34" ht="14.25">
      <c r="AG161">
        <v>795</v>
      </c>
      <c r="AH161">
        <v>159</v>
      </c>
    </row>
    <row r="162" spans="33:34" ht="14.25">
      <c r="AG162">
        <v>800</v>
      </c>
      <c r="AH162">
        <v>160</v>
      </c>
    </row>
    <row r="163" spans="33:34" ht="14.25">
      <c r="AG163">
        <v>805</v>
      </c>
      <c r="AH163">
        <v>161</v>
      </c>
    </row>
    <row r="164" spans="33:34" ht="14.25">
      <c r="AG164">
        <v>810</v>
      </c>
      <c r="AH164">
        <v>162</v>
      </c>
    </row>
    <row r="165" spans="33:34" ht="14.25">
      <c r="AG165">
        <v>815</v>
      </c>
      <c r="AH165">
        <v>163</v>
      </c>
    </row>
    <row r="166" spans="33:34" ht="14.25">
      <c r="AG166">
        <v>820</v>
      </c>
      <c r="AH166">
        <v>164</v>
      </c>
    </row>
    <row r="167" spans="33:34" ht="14.25">
      <c r="AG167">
        <v>825</v>
      </c>
      <c r="AH167">
        <v>165</v>
      </c>
    </row>
    <row r="168" spans="33:34" ht="14.25">
      <c r="AG168">
        <v>830</v>
      </c>
      <c r="AH168">
        <v>166</v>
      </c>
    </row>
    <row r="169" spans="33:34" ht="14.25">
      <c r="AG169">
        <v>835</v>
      </c>
      <c r="AH169">
        <v>167</v>
      </c>
    </row>
    <row r="170" spans="33:34" ht="14.25">
      <c r="AG170">
        <v>840</v>
      </c>
      <c r="AH170">
        <v>168</v>
      </c>
    </row>
    <row r="171" spans="33:34" ht="14.25">
      <c r="AG171">
        <v>845</v>
      </c>
      <c r="AH171">
        <v>169</v>
      </c>
    </row>
    <row r="172" spans="33:34" ht="14.25">
      <c r="AG172">
        <v>850</v>
      </c>
      <c r="AH172">
        <v>170</v>
      </c>
    </row>
    <row r="173" spans="33:34" ht="14.25">
      <c r="AG173">
        <v>855</v>
      </c>
      <c r="AH173">
        <v>171</v>
      </c>
    </row>
    <row r="174" spans="33:34" ht="14.25">
      <c r="AG174">
        <v>860</v>
      </c>
      <c r="AH174">
        <v>172</v>
      </c>
    </row>
    <row r="175" spans="33:34" ht="14.25">
      <c r="AG175">
        <v>865</v>
      </c>
      <c r="AH175">
        <v>173</v>
      </c>
    </row>
    <row r="176" spans="33:34" ht="14.25">
      <c r="AG176">
        <v>870</v>
      </c>
      <c r="AH176">
        <v>174</v>
      </c>
    </row>
    <row r="177" spans="33:34" ht="14.25">
      <c r="AG177">
        <v>875</v>
      </c>
      <c r="AH177">
        <v>175</v>
      </c>
    </row>
    <row r="178" spans="33:34" ht="14.25">
      <c r="AG178">
        <v>880</v>
      </c>
      <c r="AH178">
        <v>176</v>
      </c>
    </row>
    <row r="179" spans="33:34" ht="14.25">
      <c r="AG179">
        <v>885</v>
      </c>
      <c r="AH179">
        <v>177</v>
      </c>
    </row>
    <row r="180" spans="33:34" ht="14.25">
      <c r="AG180">
        <v>890</v>
      </c>
      <c r="AH180">
        <v>178</v>
      </c>
    </row>
    <row r="181" spans="33:34" ht="14.25">
      <c r="AG181">
        <v>895</v>
      </c>
      <c r="AH181">
        <v>179</v>
      </c>
    </row>
    <row r="182" spans="33:34" ht="14.25">
      <c r="AG182">
        <v>900</v>
      </c>
      <c r="AH182">
        <v>180</v>
      </c>
    </row>
    <row r="183" spans="33:34" ht="14.25">
      <c r="AG183">
        <v>905</v>
      </c>
      <c r="AH183">
        <v>181</v>
      </c>
    </row>
    <row r="184" spans="33:34" ht="14.25">
      <c r="AG184">
        <v>910</v>
      </c>
      <c r="AH184">
        <v>182</v>
      </c>
    </row>
    <row r="185" spans="33:34" ht="14.25">
      <c r="AG185">
        <v>915</v>
      </c>
      <c r="AH185">
        <v>183</v>
      </c>
    </row>
    <row r="186" spans="33:34" ht="14.25">
      <c r="AG186">
        <v>920</v>
      </c>
      <c r="AH186">
        <v>184</v>
      </c>
    </row>
    <row r="187" spans="33:34" ht="14.25">
      <c r="AG187">
        <v>925</v>
      </c>
      <c r="AH187">
        <v>185</v>
      </c>
    </row>
    <row r="188" spans="33:34" ht="14.25">
      <c r="AG188">
        <v>930</v>
      </c>
      <c r="AH188">
        <v>186</v>
      </c>
    </row>
    <row r="189" spans="33:34" ht="14.25">
      <c r="AG189">
        <v>935</v>
      </c>
      <c r="AH189">
        <v>187</v>
      </c>
    </row>
    <row r="190" spans="33:34" ht="14.25">
      <c r="AG190">
        <v>940</v>
      </c>
      <c r="AH190">
        <v>188</v>
      </c>
    </row>
    <row r="191" spans="33:34" ht="14.25">
      <c r="AG191">
        <v>945</v>
      </c>
      <c r="AH191">
        <v>189</v>
      </c>
    </row>
    <row r="192" spans="33:34" ht="14.25">
      <c r="AG192">
        <v>950</v>
      </c>
      <c r="AH192">
        <v>190</v>
      </c>
    </row>
    <row r="193" spans="33:34" ht="14.25">
      <c r="AG193">
        <v>955</v>
      </c>
      <c r="AH193">
        <v>191</v>
      </c>
    </row>
    <row r="194" spans="33:34" ht="14.25">
      <c r="AG194">
        <v>960</v>
      </c>
      <c r="AH194">
        <v>192</v>
      </c>
    </row>
    <row r="195" spans="33:34" ht="14.25">
      <c r="AG195">
        <v>965</v>
      </c>
      <c r="AH195">
        <v>193</v>
      </c>
    </row>
    <row r="196" spans="33:34" ht="14.25">
      <c r="AG196">
        <v>970</v>
      </c>
      <c r="AH196">
        <v>194</v>
      </c>
    </row>
    <row r="197" spans="33:34" ht="14.25">
      <c r="AG197">
        <v>975</v>
      </c>
      <c r="AH197">
        <v>195</v>
      </c>
    </row>
    <row r="198" spans="33:34" ht="14.25">
      <c r="AG198">
        <v>980</v>
      </c>
      <c r="AH198">
        <v>196</v>
      </c>
    </row>
    <row r="199" spans="33:34" ht="14.25">
      <c r="AG199">
        <v>985</v>
      </c>
      <c r="AH199">
        <v>197</v>
      </c>
    </row>
    <row r="200" spans="33:34" ht="14.25">
      <c r="AG200">
        <v>990</v>
      </c>
      <c r="AH200">
        <v>198</v>
      </c>
    </row>
    <row r="201" spans="33:34" ht="14.25">
      <c r="AG201">
        <v>995</v>
      </c>
      <c r="AH201">
        <v>199</v>
      </c>
    </row>
    <row r="202" spans="33:34" ht="14.25">
      <c r="AG202">
        <v>1000</v>
      </c>
      <c r="AH202">
        <v>200</v>
      </c>
    </row>
    <row r="203" spans="33:34" ht="14.25">
      <c r="AG203">
        <v>1005</v>
      </c>
      <c r="AH203">
        <v>201</v>
      </c>
    </row>
    <row r="204" spans="33:34" ht="14.25">
      <c r="AG204">
        <v>1010</v>
      </c>
      <c r="AH204">
        <v>202</v>
      </c>
    </row>
    <row r="205" spans="33:34" ht="14.25">
      <c r="AG205">
        <v>1015</v>
      </c>
      <c r="AH205">
        <v>203</v>
      </c>
    </row>
    <row r="206" spans="33:34" ht="14.25">
      <c r="AG206">
        <v>1020</v>
      </c>
      <c r="AH206">
        <v>204</v>
      </c>
    </row>
    <row r="207" spans="33:34" ht="14.25">
      <c r="AG207">
        <v>1025</v>
      </c>
      <c r="AH207">
        <v>205</v>
      </c>
    </row>
    <row r="208" spans="33:34" ht="14.25">
      <c r="AG208">
        <v>1030</v>
      </c>
      <c r="AH208">
        <v>206</v>
      </c>
    </row>
    <row r="209" spans="33:34" ht="14.25">
      <c r="AG209">
        <v>1035</v>
      </c>
      <c r="AH209">
        <v>207</v>
      </c>
    </row>
    <row r="210" spans="33:34" ht="14.25">
      <c r="AG210">
        <v>1040</v>
      </c>
      <c r="AH210">
        <v>208</v>
      </c>
    </row>
    <row r="211" spans="33:34" ht="14.25">
      <c r="AG211">
        <v>1045</v>
      </c>
      <c r="AH211">
        <v>209</v>
      </c>
    </row>
    <row r="212" spans="33:34" ht="14.25">
      <c r="AG212">
        <v>1050</v>
      </c>
      <c r="AH212">
        <v>210</v>
      </c>
    </row>
    <row r="213" spans="33:34" ht="14.25">
      <c r="AG213">
        <v>1055</v>
      </c>
      <c r="AH213">
        <v>211</v>
      </c>
    </row>
    <row r="214" spans="33:34" ht="14.25">
      <c r="AG214">
        <v>1060</v>
      </c>
      <c r="AH214">
        <v>212</v>
      </c>
    </row>
    <row r="215" spans="33:34" ht="14.25">
      <c r="AG215">
        <v>1065</v>
      </c>
      <c r="AH215">
        <v>213</v>
      </c>
    </row>
    <row r="216" spans="33:34" ht="14.25">
      <c r="AG216">
        <v>1070</v>
      </c>
      <c r="AH216">
        <v>214</v>
      </c>
    </row>
    <row r="217" spans="33:34" ht="14.25">
      <c r="AG217">
        <v>1075</v>
      </c>
      <c r="AH217">
        <v>215</v>
      </c>
    </row>
    <row r="218" spans="33:34" ht="14.25">
      <c r="AG218">
        <v>1080</v>
      </c>
      <c r="AH218">
        <v>216</v>
      </c>
    </row>
    <row r="219" spans="33:34" ht="14.25">
      <c r="AG219">
        <v>1085</v>
      </c>
      <c r="AH219">
        <v>217</v>
      </c>
    </row>
    <row r="220" spans="33:34" ht="14.25">
      <c r="AG220">
        <v>1090</v>
      </c>
      <c r="AH220">
        <v>218</v>
      </c>
    </row>
    <row r="221" spans="33:34" ht="14.25">
      <c r="AG221">
        <v>1095</v>
      </c>
      <c r="AH221">
        <v>219</v>
      </c>
    </row>
    <row r="222" spans="33:34" ht="14.25">
      <c r="AG222">
        <v>1100</v>
      </c>
      <c r="AH222">
        <v>220</v>
      </c>
    </row>
    <row r="223" spans="33:34" ht="14.25">
      <c r="AG223">
        <v>1105</v>
      </c>
      <c r="AH223">
        <v>221</v>
      </c>
    </row>
    <row r="224" spans="33:34" ht="14.25">
      <c r="AG224">
        <v>1110</v>
      </c>
      <c r="AH224">
        <v>222</v>
      </c>
    </row>
    <row r="225" spans="33:34" ht="14.25">
      <c r="AG225">
        <v>1115</v>
      </c>
      <c r="AH225">
        <v>223</v>
      </c>
    </row>
    <row r="226" spans="33:34" ht="14.25">
      <c r="AG226">
        <v>1120</v>
      </c>
      <c r="AH226">
        <v>224</v>
      </c>
    </row>
    <row r="227" spans="33:34" ht="14.25">
      <c r="AG227">
        <v>1125</v>
      </c>
      <c r="AH227">
        <v>225</v>
      </c>
    </row>
    <row r="228" spans="33:34" ht="14.25">
      <c r="AG228">
        <v>1130</v>
      </c>
      <c r="AH228">
        <v>226</v>
      </c>
    </row>
    <row r="229" spans="33:34" ht="14.25">
      <c r="AG229">
        <v>1135</v>
      </c>
      <c r="AH229">
        <v>227</v>
      </c>
    </row>
    <row r="230" spans="33:34" ht="14.25">
      <c r="AG230">
        <v>1140</v>
      </c>
      <c r="AH230">
        <v>228</v>
      </c>
    </row>
    <row r="231" spans="33:34" ht="14.25">
      <c r="AG231">
        <v>1145</v>
      </c>
      <c r="AH231">
        <v>229</v>
      </c>
    </row>
    <row r="232" spans="33:34" ht="14.25">
      <c r="AG232">
        <v>1150</v>
      </c>
      <c r="AH232">
        <v>230</v>
      </c>
    </row>
    <row r="233" spans="33:34" ht="14.25">
      <c r="AG233">
        <v>1155</v>
      </c>
      <c r="AH233">
        <v>231</v>
      </c>
    </row>
    <row r="234" spans="33:34" ht="14.25">
      <c r="AG234">
        <v>1160</v>
      </c>
      <c r="AH234">
        <v>232</v>
      </c>
    </row>
    <row r="235" spans="33:34" ht="14.25">
      <c r="AG235">
        <v>1165</v>
      </c>
      <c r="AH235">
        <v>233</v>
      </c>
    </row>
    <row r="236" spans="33:34" ht="14.25">
      <c r="AG236">
        <v>1170</v>
      </c>
      <c r="AH236">
        <v>234</v>
      </c>
    </row>
    <row r="237" spans="33:34" ht="14.25">
      <c r="AG237">
        <v>1175</v>
      </c>
      <c r="AH237">
        <v>235</v>
      </c>
    </row>
    <row r="238" spans="33:34" ht="14.25">
      <c r="AG238">
        <v>1180</v>
      </c>
      <c r="AH238">
        <v>236</v>
      </c>
    </row>
    <row r="239" spans="33:34" ht="14.25">
      <c r="AG239">
        <v>1185</v>
      </c>
      <c r="AH239">
        <v>237</v>
      </c>
    </row>
    <row r="240" spans="33:34" ht="14.25">
      <c r="AG240">
        <v>1190</v>
      </c>
      <c r="AH240">
        <v>238</v>
      </c>
    </row>
    <row r="241" spans="33:34" ht="14.25">
      <c r="AG241">
        <v>1195</v>
      </c>
      <c r="AH241">
        <v>239</v>
      </c>
    </row>
    <row r="242" spans="33:34" ht="14.25">
      <c r="AG242">
        <v>1200</v>
      </c>
      <c r="AH242">
        <v>240</v>
      </c>
    </row>
    <row r="243" spans="33:34" ht="14.25">
      <c r="AG243">
        <v>1205</v>
      </c>
      <c r="AH243">
        <v>241</v>
      </c>
    </row>
    <row r="244" spans="33:34" ht="14.25">
      <c r="AG244">
        <v>1210</v>
      </c>
      <c r="AH244">
        <v>242</v>
      </c>
    </row>
    <row r="245" spans="33:34" ht="14.25">
      <c r="AG245">
        <v>1215</v>
      </c>
      <c r="AH245">
        <v>243</v>
      </c>
    </row>
    <row r="246" spans="33:34" ht="14.25">
      <c r="AG246">
        <v>1220</v>
      </c>
      <c r="AH246">
        <v>244</v>
      </c>
    </row>
    <row r="247" spans="33:34" ht="14.25">
      <c r="AG247">
        <v>1225</v>
      </c>
      <c r="AH247">
        <v>245</v>
      </c>
    </row>
    <row r="248" spans="33:34" ht="14.25">
      <c r="AG248">
        <v>1230</v>
      </c>
      <c r="AH248">
        <v>246</v>
      </c>
    </row>
    <row r="249" spans="33:34" ht="14.25">
      <c r="AG249">
        <v>1235</v>
      </c>
      <c r="AH249">
        <v>247</v>
      </c>
    </row>
    <row r="250" spans="33:34" ht="14.25">
      <c r="AG250">
        <v>1240</v>
      </c>
      <c r="AH250">
        <v>248</v>
      </c>
    </row>
    <row r="251" spans="33:34" ht="14.25">
      <c r="AG251">
        <v>1245</v>
      </c>
      <c r="AH251">
        <v>249</v>
      </c>
    </row>
    <row r="252" spans="33:34" ht="14.25">
      <c r="AG252">
        <v>1250</v>
      </c>
      <c r="AH252">
        <v>250</v>
      </c>
    </row>
    <row r="253" spans="33:34" ht="14.25">
      <c r="AG253">
        <v>1255</v>
      </c>
      <c r="AH253">
        <v>251</v>
      </c>
    </row>
    <row r="254" spans="33:34" ht="14.25">
      <c r="AG254">
        <v>1260</v>
      </c>
      <c r="AH254">
        <v>252</v>
      </c>
    </row>
    <row r="255" spans="33:34" ht="14.25">
      <c r="AG255">
        <v>1265</v>
      </c>
      <c r="AH255">
        <v>253</v>
      </c>
    </row>
    <row r="256" spans="33:34" ht="14.25">
      <c r="AG256">
        <v>1270</v>
      </c>
      <c r="AH256">
        <v>254</v>
      </c>
    </row>
    <row r="257" spans="33:34" ht="14.25">
      <c r="AG257">
        <v>1275</v>
      </c>
      <c r="AH257">
        <v>255</v>
      </c>
    </row>
    <row r="258" spans="33:34" ht="14.25">
      <c r="AG258">
        <v>1280</v>
      </c>
      <c r="AH258">
        <v>256</v>
      </c>
    </row>
    <row r="259" spans="33:34" ht="14.25">
      <c r="AG259">
        <v>1285</v>
      </c>
      <c r="AH259">
        <v>257</v>
      </c>
    </row>
    <row r="260" spans="33:34" ht="14.25">
      <c r="AG260">
        <v>1290</v>
      </c>
      <c r="AH260">
        <v>258</v>
      </c>
    </row>
    <row r="261" spans="33:34" ht="14.25">
      <c r="AG261">
        <v>1295</v>
      </c>
      <c r="AH261">
        <v>259</v>
      </c>
    </row>
    <row r="262" spans="33:34" ht="14.25">
      <c r="AG262">
        <v>1300</v>
      </c>
      <c r="AH262">
        <v>260</v>
      </c>
    </row>
    <row r="263" spans="33:34" ht="14.25">
      <c r="AG263">
        <v>1305</v>
      </c>
      <c r="AH263">
        <v>261</v>
      </c>
    </row>
    <row r="264" spans="33:34" ht="14.25">
      <c r="AG264">
        <v>1310</v>
      </c>
      <c r="AH264">
        <v>262</v>
      </c>
    </row>
    <row r="265" spans="33:34" ht="14.25">
      <c r="AG265">
        <v>1315</v>
      </c>
      <c r="AH265">
        <v>263</v>
      </c>
    </row>
    <row r="266" spans="33:34" ht="14.25">
      <c r="AG266">
        <v>1320</v>
      </c>
      <c r="AH266">
        <v>264</v>
      </c>
    </row>
    <row r="267" spans="33:34" ht="14.25">
      <c r="AG267">
        <v>1325</v>
      </c>
      <c r="AH267">
        <v>265</v>
      </c>
    </row>
    <row r="268" spans="33:34" ht="14.25">
      <c r="AG268">
        <v>1330</v>
      </c>
      <c r="AH268">
        <v>266</v>
      </c>
    </row>
    <row r="269" spans="33:34" ht="14.25">
      <c r="AG269">
        <v>1335</v>
      </c>
      <c r="AH269">
        <v>267</v>
      </c>
    </row>
    <row r="270" spans="33:34" ht="14.25">
      <c r="AG270">
        <v>1340</v>
      </c>
      <c r="AH270">
        <v>268</v>
      </c>
    </row>
    <row r="271" spans="33:34" ht="14.25">
      <c r="AG271">
        <v>1345</v>
      </c>
      <c r="AH271">
        <v>269</v>
      </c>
    </row>
    <row r="272" spans="33:34" ht="14.25">
      <c r="AG272">
        <v>1350</v>
      </c>
      <c r="AH272">
        <v>270</v>
      </c>
    </row>
    <row r="273" spans="33:34" ht="14.25">
      <c r="AG273">
        <v>1355</v>
      </c>
      <c r="AH273">
        <v>271</v>
      </c>
    </row>
    <row r="274" spans="33:34" ht="14.25">
      <c r="AG274">
        <v>1360</v>
      </c>
      <c r="AH274">
        <v>272</v>
      </c>
    </row>
    <row r="275" spans="33:34" ht="14.25">
      <c r="AG275">
        <v>1365</v>
      </c>
      <c r="AH275">
        <v>273</v>
      </c>
    </row>
    <row r="276" spans="33:34" ht="14.25">
      <c r="AG276">
        <v>1370</v>
      </c>
      <c r="AH276">
        <v>274</v>
      </c>
    </row>
    <row r="277" spans="33:34" ht="14.25">
      <c r="AG277">
        <v>1375</v>
      </c>
      <c r="AH277">
        <v>275</v>
      </c>
    </row>
    <row r="278" spans="33:34" ht="14.25">
      <c r="AG278">
        <v>1380</v>
      </c>
      <c r="AH278">
        <v>276</v>
      </c>
    </row>
    <row r="279" spans="33:34" ht="14.25">
      <c r="AG279">
        <v>1385</v>
      </c>
      <c r="AH279">
        <v>277</v>
      </c>
    </row>
    <row r="280" spans="33:34" ht="14.25">
      <c r="AG280">
        <v>1390</v>
      </c>
      <c r="AH280">
        <v>278</v>
      </c>
    </row>
    <row r="281" spans="33:34" ht="14.25">
      <c r="AG281">
        <v>1395</v>
      </c>
      <c r="AH281">
        <v>279</v>
      </c>
    </row>
    <row r="282" spans="33:34" ht="14.25">
      <c r="AG282">
        <v>1400</v>
      </c>
      <c r="AH282">
        <v>280</v>
      </c>
    </row>
    <row r="283" spans="33:34" ht="14.25">
      <c r="AG283">
        <v>1405</v>
      </c>
      <c r="AH283">
        <v>281</v>
      </c>
    </row>
    <row r="284" spans="33:34" ht="14.25">
      <c r="AG284">
        <v>1410</v>
      </c>
      <c r="AH284">
        <v>282</v>
      </c>
    </row>
    <row r="285" spans="33:34" ht="14.25">
      <c r="AG285">
        <v>1415</v>
      </c>
      <c r="AH285">
        <v>283</v>
      </c>
    </row>
    <row r="286" spans="33:34" ht="14.25">
      <c r="AG286">
        <v>1420</v>
      </c>
      <c r="AH286">
        <v>284</v>
      </c>
    </row>
    <row r="287" spans="33:34" ht="14.25">
      <c r="AG287">
        <v>1425</v>
      </c>
      <c r="AH287">
        <v>285</v>
      </c>
    </row>
    <row r="288" spans="33:34" ht="14.25">
      <c r="AG288">
        <v>1430</v>
      </c>
      <c r="AH288">
        <v>286</v>
      </c>
    </row>
    <row r="289" spans="33:34" ht="14.25">
      <c r="AG289">
        <v>1435</v>
      </c>
      <c r="AH289">
        <v>287</v>
      </c>
    </row>
    <row r="290" spans="33:34" ht="14.25">
      <c r="AG290">
        <v>1440</v>
      </c>
      <c r="AH290">
        <v>288</v>
      </c>
    </row>
    <row r="291" spans="33:34" ht="14.25">
      <c r="AG291">
        <v>1445</v>
      </c>
      <c r="AH291">
        <v>289</v>
      </c>
    </row>
    <row r="292" spans="33:34" ht="14.25">
      <c r="AG292">
        <v>1450</v>
      </c>
      <c r="AH292">
        <v>290</v>
      </c>
    </row>
    <row r="293" spans="33:34" ht="14.25">
      <c r="AG293">
        <v>1455</v>
      </c>
      <c r="AH293">
        <v>291</v>
      </c>
    </row>
    <row r="294" spans="33:34" ht="14.25">
      <c r="AG294">
        <v>1460</v>
      </c>
      <c r="AH294">
        <v>292</v>
      </c>
    </row>
    <row r="295" spans="33:34" ht="14.25">
      <c r="AG295">
        <v>1465</v>
      </c>
      <c r="AH295">
        <v>293</v>
      </c>
    </row>
    <row r="296" spans="33:34" ht="14.25">
      <c r="AG296">
        <v>1470</v>
      </c>
      <c r="AH296">
        <v>294</v>
      </c>
    </row>
    <row r="297" spans="33:34" ht="14.25">
      <c r="AG297">
        <v>1475</v>
      </c>
      <c r="AH297">
        <v>295</v>
      </c>
    </row>
    <row r="298" spans="33:34" ht="14.25">
      <c r="AG298">
        <v>1480</v>
      </c>
      <c r="AH298">
        <v>296</v>
      </c>
    </row>
    <row r="299" spans="33:34" ht="14.25">
      <c r="AG299">
        <v>1485</v>
      </c>
      <c r="AH299">
        <v>297</v>
      </c>
    </row>
    <row r="300" spans="33:34" ht="14.25">
      <c r="AG300">
        <v>1490</v>
      </c>
      <c r="AH300">
        <v>298</v>
      </c>
    </row>
    <row r="301" spans="33:34" ht="14.25">
      <c r="AG301">
        <v>1495</v>
      </c>
      <c r="AH301">
        <v>299</v>
      </c>
    </row>
    <row r="302" spans="33:34" ht="14.25">
      <c r="AG302">
        <v>1500</v>
      </c>
      <c r="AH302">
        <v>300</v>
      </c>
    </row>
    <row r="303" spans="34:34" ht="14.25">
      <c r="AH303">
        <v>301</v>
      </c>
    </row>
    <row r="304" spans="34:34" ht="14.25">
      <c r="AH304">
        <v>302</v>
      </c>
    </row>
    <row r="305" spans="34:34" ht="14.25">
      <c r="AH305">
        <v>303</v>
      </c>
    </row>
    <row r="306" spans="34:34" ht="14.25">
      <c r="AH306">
        <v>304</v>
      </c>
    </row>
    <row r="307" spans="34:34" ht="14.25">
      <c r="AH307">
        <v>305</v>
      </c>
    </row>
    <row r="308" spans="34:34" ht="14.25">
      <c r="AH308">
        <v>306</v>
      </c>
    </row>
    <row r="309" spans="34:34" ht="14.25">
      <c r="AH309">
        <v>307</v>
      </c>
    </row>
    <row r="310" spans="34:34" ht="14.25">
      <c r="AH310">
        <v>308</v>
      </c>
    </row>
    <row r="311" spans="34:34" ht="14.25">
      <c r="AH311">
        <v>309</v>
      </c>
    </row>
    <row r="312" spans="34:34" ht="14.25">
      <c r="AH312">
        <v>310</v>
      </c>
    </row>
    <row r="313" spans="34:34" ht="14.25">
      <c r="AH313">
        <v>311</v>
      </c>
    </row>
    <row r="314" spans="34:34" ht="14.25">
      <c r="AH314">
        <v>312</v>
      </c>
    </row>
    <row r="315" spans="34:34" ht="14.25">
      <c r="AH315">
        <v>313</v>
      </c>
    </row>
    <row r="316" spans="34:34" ht="14.25">
      <c r="AH316">
        <v>314</v>
      </c>
    </row>
    <row r="317" spans="34:34" ht="14.25">
      <c r="AH317">
        <v>315</v>
      </c>
    </row>
    <row r="318" spans="34:34" ht="14.25">
      <c r="AH318">
        <v>316</v>
      </c>
    </row>
    <row r="319" spans="34:34" ht="14.25">
      <c r="AH319">
        <v>317</v>
      </c>
    </row>
    <row r="320" spans="34:34" ht="14.25">
      <c r="AH320">
        <v>318</v>
      </c>
    </row>
    <row r="321" spans="34:34" ht="14.25">
      <c r="AH321">
        <v>319</v>
      </c>
    </row>
    <row r="322" spans="34:34" ht="14.25">
      <c r="AH322">
        <v>320</v>
      </c>
    </row>
    <row r="323" spans="34:34" ht="14.25">
      <c r="AH323">
        <v>321</v>
      </c>
    </row>
    <row r="324" spans="34:34" ht="14.25">
      <c r="AH324">
        <v>322</v>
      </c>
    </row>
    <row r="325" spans="34:34" ht="14.25">
      <c r="AH325">
        <v>323</v>
      </c>
    </row>
    <row r="326" spans="34:34" ht="14.25">
      <c r="AH326">
        <v>324</v>
      </c>
    </row>
    <row r="327" spans="34:34" ht="14.25">
      <c r="AH327">
        <v>325</v>
      </c>
    </row>
    <row r="328" spans="34:34" ht="14.25">
      <c r="AH328">
        <v>326</v>
      </c>
    </row>
    <row r="329" spans="34:34" ht="14.25">
      <c r="AH329">
        <v>327</v>
      </c>
    </row>
    <row r="330" spans="34:34" ht="14.25">
      <c r="AH330">
        <v>328</v>
      </c>
    </row>
    <row r="331" spans="34:34" ht="14.25">
      <c r="AH331">
        <v>329</v>
      </c>
    </row>
    <row r="332" spans="34:34" ht="14.25">
      <c r="AH332">
        <v>330</v>
      </c>
    </row>
    <row r="333" spans="34:34" ht="14.25">
      <c r="AH333">
        <v>331</v>
      </c>
    </row>
    <row r="334" spans="34:34" ht="14.25">
      <c r="AH334">
        <v>332</v>
      </c>
    </row>
    <row r="335" spans="34:34" ht="14.25">
      <c r="AH335">
        <v>333</v>
      </c>
    </row>
    <row r="336" spans="34:34" ht="14.25">
      <c r="AH336">
        <v>334</v>
      </c>
    </row>
    <row r="337" spans="34:34" ht="14.25">
      <c r="AH337">
        <v>335</v>
      </c>
    </row>
    <row r="338" spans="34:34" ht="14.25">
      <c r="AH338">
        <v>336</v>
      </c>
    </row>
    <row r="339" spans="34:34" ht="14.25">
      <c r="AH339">
        <v>337</v>
      </c>
    </row>
    <row r="340" spans="34:34" ht="14.25">
      <c r="AH340">
        <v>338</v>
      </c>
    </row>
    <row r="341" spans="34:34" ht="14.25">
      <c r="AH341">
        <v>339</v>
      </c>
    </row>
    <row r="342" spans="34:34" ht="14.25">
      <c r="AH342">
        <v>340</v>
      </c>
    </row>
    <row r="343" spans="34:34" ht="14.25">
      <c r="AH343">
        <v>341</v>
      </c>
    </row>
    <row r="344" spans="34:34" ht="14.25">
      <c r="AH344">
        <v>342</v>
      </c>
    </row>
    <row r="345" spans="34:34" ht="14.25">
      <c r="AH345">
        <v>343</v>
      </c>
    </row>
    <row r="346" spans="34:34" ht="14.25">
      <c r="AH346">
        <v>344</v>
      </c>
    </row>
    <row r="347" spans="34:34" ht="14.25">
      <c r="AH347">
        <v>345</v>
      </c>
    </row>
    <row r="348" spans="34:34" ht="14.25">
      <c r="AH348">
        <v>346</v>
      </c>
    </row>
    <row r="349" spans="34:34" ht="14.25">
      <c r="AH349">
        <v>347</v>
      </c>
    </row>
    <row r="350" spans="34:34" ht="14.25">
      <c r="AH350">
        <v>348</v>
      </c>
    </row>
    <row r="351" spans="34:34" ht="14.25">
      <c r="AH351">
        <v>349</v>
      </c>
    </row>
    <row r="352" spans="34:34" ht="14.25">
      <c r="AH352">
        <v>350</v>
      </c>
    </row>
    <row r="353" spans="34:34" ht="14.25">
      <c r="AH353">
        <v>351</v>
      </c>
    </row>
    <row r="354" spans="34:34" ht="14.25">
      <c r="AH354">
        <v>352</v>
      </c>
    </row>
    <row r="355" spans="34:34" ht="14.25">
      <c r="AH355">
        <v>353</v>
      </c>
    </row>
    <row r="356" spans="34:34" ht="14.25">
      <c r="AH356">
        <v>354</v>
      </c>
    </row>
    <row r="357" spans="34:34" ht="14.25">
      <c r="AH357">
        <v>355</v>
      </c>
    </row>
    <row r="358" spans="34:34" ht="14.25">
      <c r="AH358">
        <v>356</v>
      </c>
    </row>
    <row r="359" spans="34:34" ht="14.25">
      <c r="AH359">
        <v>357</v>
      </c>
    </row>
    <row r="360" spans="34:34" ht="14.25">
      <c r="AH360">
        <v>358</v>
      </c>
    </row>
    <row r="361" spans="34:34" ht="14.25">
      <c r="AH361">
        <v>359</v>
      </c>
    </row>
    <row r="362" spans="34:34" ht="14.25">
      <c r="AH362">
        <v>360</v>
      </c>
    </row>
    <row r="363" spans="34:34" ht="14.25">
      <c r="AH363">
        <v>361</v>
      </c>
    </row>
    <row r="364" spans="34:34" ht="14.25">
      <c r="AH364">
        <v>362</v>
      </c>
    </row>
    <row r="365" spans="34:34" ht="14.25">
      <c r="AH365">
        <v>363</v>
      </c>
    </row>
    <row r="366" spans="34:34" ht="14.25">
      <c r="AH366">
        <v>364</v>
      </c>
    </row>
    <row r="367" spans="34:34" ht="14.25">
      <c r="AH367">
        <v>365</v>
      </c>
    </row>
    <row r="368" spans="34:34" ht="14.25">
      <c r="AH368">
        <v>366</v>
      </c>
    </row>
    <row r="369" spans="34:34" ht="14.25">
      <c r="AH369">
        <v>367</v>
      </c>
    </row>
    <row r="370" spans="34:34" ht="14.25">
      <c r="AH370">
        <v>368</v>
      </c>
    </row>
    <row r="371" spans="34:34" ht="14.25">
      <c r="AH371">
        <v>369</v>
      </c>
    </row>
    <row r="372" spans="34:34" ht="14.25">
      <c r="AH372">
        <v>370</v>
      </c>
    </row>
    <row r="373" spans="34:34" ht="14.25">
      <c r="AH373">
        <v>371</v>
      </c>
    </row>
    <row r="374" spans="34:34" ht="14.25">
      <c r="AH374">
        <v>372</v>
      </c>
    </row>
    <row r="375" spans="34:34" ht="14.25">
      <c r="AH375">
        <v>373</v>
      </c>
    </row>
    <row r="376" spans="34:34" ht="14.25">
      <c r="AH376">
        <v>374</v>
      </c>
    </row>
    <row r="377" spans="34:34" ht="14.25">
      <c r="AH377">
        <v>375</v>
      </c>
    </row>
    <row r="378" spans="34:34" ht="14.25">
      <c r="AH378">
        <v>376</v>
      </c>
    </row>
    <row r="379" spans="34:34" ht="14.25">
      <c r="AH379">
        <v>377</v>
      </c>
    </row>
    <row r="380" spans="34:34" ht="14.25">
      <c r="AH380">
        <v>378</v>
      </c>
    </row>
    <row r="381" spans="34:34" ht="14.25">
      <c r="AH381">
        <v>379</v>
      </c>
    </row>
    <row r="382" spans="34:34" ht="14.25">
      <c r="AH382">
        <v>380</v>
      </c>
    </row>
    <row r="383" spans="34:34" ht="14.25">
      <c r="AH383">
        <v>381</v>
      </c>
    </row>
    <row r="384" spans="34:34" ht="14.25">
      <c r="AH384">
        <v>382</v>
      </c>
    </row>
    <row r="385" spans="34:34" ht="14.25">
      <c r="AH385">
        <v>383</v>
      </c>
    </row>
    <row r="386" spans="34:34" ht="14.25">
      <c r="AH386">
        <v>384</v>
      </c>
    </row>
    <row r="387" spans="34:34" ht="14.25">
      <c r="AH387">
        <v>385</v>
      </c>
    </row>
    <row r="388" spans="34:34" ht="14.25">
      <c r="AH388">
        <v>386</v>
      </c>
    </row>
    <row r="389" spans="34:34" ht="14.25">
      <c r="AH389">
        <v>387</v>
      </c>
    </row>
    <row r="390" spans="34:34" ht="14.25">
      <c r="AH390">
        <v>388</v>
      </c>
    </row>
    <row r="391" spans="34:34" ht="14.25">
      <c r="AH391">
        <v>389</v>
      </c>
    </row>
    <row r="392" spans="34:34" ht="14.25">
      <c r="AH392">
        <v>390</v>
      </c>
    </row>
    <row r="393" spans="34:34" ht="14.25">
      <c r="AH393">
        <v>391</v>
      </c>
    </row>
    <row r="394" spans="34:34" ht="14.25">
      <c r="AH394">
        <v>392</v>
      </c>
    </row>
    <row r="395" spans="34:34" ht="14.25">
      <c r="AH395">
        <v>393</v>
      </c>
    </row>
    <row r="396" spans="34:34" ht="14.25">
      <c r="AH396">
        <v>394</v>
      </c>
    </row>
    <row r="397" spans="34:34" ht="14.25">
      <c r="AH397">
        <v>395</v>
      </c>
    </row>
    <row r="398" spans="34:34" ht="14.25">
      <c r="AH398">
        <v>396</v>
      </c>
    </row>
    <row r="399" spans="34:34" ht="14.25">
      <c r="AH399">
        <v>397</v>
      </c>
    </row>
    <row r="400" spans="34:34" ht="14.25">
      <c r="AH400">
        <v>398</v>
      </c>
    </row>
    <row r="401" spans="34:34" ht="14.25">
      <c r="AH401">
        <v>399</v>
      </c>
    </row>
    <row r="402" spans="34:34" ht="14.25">
      <c r="AH402">
        <v>400</v>
      </c>
    </row>
    <row r="403" spans="34:34" ht="14.25">
      <c r="AH403">
        <v>401</v>
      </c>
    </row>
    <row r="404" spans="34:34" ht="14.25">
      <c r="AH404">
        <v>402</v>
      </c>
    </row>
    <row r="405" spans="34:34" ht="14.25">
      <c r="AH405">
        <v>403</v>
      </c>
    </row>
    <row r="406" spans="34:34" ht="14.25">
      <c r="AH406">
        <v>404</v>
      </c>
    </row>
    <row r="407" spans="34:34" ht="14.25">
      <c r="AH407">
        <v>405</v>
      </c>
    </row>
    <row r="408" spans="34:34" ht="14.25">
      <c r="AH408">
        <v>406</v>
      </c>
    </row>
    <row r="409" spans="34:34" ht="14.25">
      <c r="AH409">
        <v>407</v>
      </c>
    </row>
    <row r="410" spans="34:34" ht="14.25">
      <c r="AH410">
        <v>408</v>
      </c>
    </row>
    <row r="411" spans="34:34" ht="14.25">
      <c r="AH411">
        <v>409</v>
      </c>
    </row>
    <row r="412" spans="34:34" ht="14.25">
      <c r="AH412">
        <v>410</v>
      </c>
    </row>
    <row r="413" spans="34:34" ht="14.25">
      <c r="AH413">
        <v>411</v>
      </c>
    </row>
    <row r="414" spans="34:34" ht="14.25">
      <c r="AH414">
        <v>412</v>
      </c>
    </row>
    <row r="415" spans="34:34" ht="14.25">
      <c r="AH415">
        <v>413</v>
      </c>
    </row>
    <row r="416" spans="34:34" ht="14.25">
      <c r="AH416">
        <v>414</v>
      </c>
    </row>
    <row r="417" spans="34:34" ht="14.25">
      <c r="AH417">
        <v>415</v>
      </c>
    </row>
    <row r="418" spans="34:34" ht="14.25">
      <c r="AH418">
        <v>416</v>
      </c>
    </row>
    <row r="419" spans="34:34" ht="14.25">
      <c r="AH419">
        <v>417</v>
      </c>
    </row>
    <row r="420" spans="34:34" ht="14.25">
      <c r="AH420">
        <v>418</v>
      </c>
    </row>
    <row r="421" spans="34:34" ht="14.25">
      <c r="AH421">
        <v>419</v>
      </c>
    </row>
    <row r="422" spans="34:34" ht="14.25">
      <c r="AH422">
        <v>420</v>
      </c>
    </row>
    <row r="423" spans="34:34" ht="14.25">
      <c r="AH423">
        <v>421</v>
      </c>
    </row>
    <row r="424" spans="34:34" ht="14.25">
      <c r="AH424">
        <v>422</v>
      </c>
    </row>
    <row r="425" spans="34:34" ht="14.25">
      <c r="AH425">
        <v>423</v>
      </c>
    </row>
    <row r="426" spans="34:34" ht="14.25">
      <c r="AH426">
        <v>424</v>
      </c>
    </row>
    <row r="427" spans="34:34" ht="14.25">
      <c r="AH427">
        <v>425</v>
      </c>
    </row>
    <row r="428" spans="34:34" ht="14.25">
      <c r="AH428">
        <v>426</v>
      </c>
    </row>
  </sheetData>
  <sheetProtection algorithmName="SHA-512" hashValue="MSopUfZlNmeDzJAFUa+FYpSlQmJprtAlt/CyL93GLYlvr+Hg3xlkhLQtsApho5XslpFBT0s4mXTdNcPUubqNsQ==" saltValue="f+HOI9f5PTtK5h5SRa6K+A==" spinCount="100000" sheet="1" objects="1" scenarios="1"/>
  <mergeCells count="24">
    <mergeCell ref="Z7:AA7"/>
    <mergeCell ref="K28:P28"/>
    <mergeCell ref="W3:X3"/>
    <mergeCell ref="V17:X17"/>
    <mergeCell ref="C31:I31"/>
    <mergeCell ref="C17:I17"/>
    <mergeCell ref="D29:F29"/>
    <mergeCell ref="S7:U7"/>
    <mergeCell ref="K21:P21"/>
    <mergeCell ref="Z23:AA23"/>
    <mergeCell ref="T17:U17"/>
    <mergeCell ref="S14:U14"/>
    <mergeCell ref="S15:U15"/>
    <mergeCell ref="V32:X32"/>
    <mergeCell ref="W23:X23"/>
    <mergeCell ref="K4:P4"/>
    <mergeCell ref="C47:H47"/>
    <mergeCell ref="S2:U2"/>
    <mergeCell ref="C4:H4"/>
    <mergeCell ref="W7:X7"/>
    <mergeCell ref="C12:H12"/>
    <mergeCell ref="S11:U11"/>
    <mergeCell ref="S12:U12"/>
    <mergeCell ref="T23:U23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>
    <tabColor rgb="FFFFFF00"/>
  </sheetPr>
  <dimension ref="A1:P165"/>
  <sheetViews>
    <sheetView rightToLeft="1" workbookViewId="0" topLeftCell="A43">
      <selection pane="topLeft" activeCell="E120" sqref="E120"/>
    </sheetView>
  </sheetViews>
  <sheetFormatPr defaultColWidth="9.125" defaultRowHeight="14.25"/>
  <cols>
    <col min="1" max="1" width="45.625" bestFit="1" customWidth="1"/>
    <col min="2" max="2" width="6.875" bestFit="1" customWidth="1"/>
    <col min="3" max="3" width="11" bestFit="1" customWidth="1"/>
    <col min="4" max="4" width="9" bestFit="1" customWidth="1"/>
    <col min="5" max="5" width="9.125" style="59"/>
    <col min="7" max="7" width="45.625" bestFit="1" customWidth="1"/>
    <col min="14" max="14" width="9.125" style="59"/>
    <col min="15" max="15" width="10.375" bestFit="1" customWidth="1"/>
  </cols>
  <sheetData>
    <row r="1" spans="1:16" ht="15">
      <c r="A1" s="29" t="s">
        <v>32</v>
      </c>
      <c r="B1" s="29" t="s">
        <v>21</v>
      </c>
      <c r="C1" s="29" t="s">
        <v>11</v>
      </c>
      <c r="D1" s="29" t="s">
        <v>12</v>
      </c>
      <c r="N1" s="301" t="s">
        <v>51</v>
      </c>
      <c r="O1" s="302"/>
      <c r="P1" s="303"/>
    </row>
    <row r="2" spans="1:16" ht="15">
      <c r="A2" s="28" t="s">
        <v>127</v>
      </c>
      <c r="E2" s="59" t="s">
        <v>49</v>
      </c>
      <c r="N2" s="61" t="s">
        <v>52</v>
      </c>
      <c r="O2" s="21" t="s">
        <v>11</v>
      </c>
      <c r="P2" s="32" t="s">
        <v>12</v>
      </c>
    </row>
    <row r="3" spans="1:16" ht="14.25">
      <c r="A3" t="s">
        <v>97</v>
      </c>
      <c r="B3">
        <v>10</v>
      </c>
      <c r="C3">
        <v>2.54</v>
      </c>
      <c r="D3">
        <v>-0.62</v>
      </c>
      <c r="E3" s="59">
        <v>1</v>
      </c>
      <c r="N3" s="61">
        <f t="array" ref="N3">INDEX($E$3:$E$200,MATCH(0,COUNTIF($N$1:N1,$E$3:$E$200),0))</f>
        <v>1</v>
      </c>
      <c r="O3" s="21">
        <f t="shared" si="0" ref="O3:O39">IFERROR((INDEX($C$3:$D$200,MATCH($N3,$E$3:$E$200,0),1)),"")</f>
        <v>2.54</v>
      </c>
      <c r="P3" s="32">
        <f t="shared" si="1" ref="P3:P39">IFERROR((INDEX($C$3:$D$200,MATCH($N3,$E$3:$E$200,0),2)),"")</f>
        <v>-0.62</v>
      </c>
    </row>
    <row r="4" spans="14:16" ht="14.25">
      <c r="N4" s="61">
        <f t="array" ref="N4">INDEX($E$3:$E$200,MATCH(0,COUNTIF($N$1:N3,$E$3:$E$200),0))</f>
        <v>0</v>
      </c>
      <c r="O4" s="21" t="str">
        <f t="shared" si="0"/>
        <v/>
      </c>
      <c r="P4" s="32" t="str">
        <f t="shared" si="1"/>
        <v/>
      </c>
    </row>
    <row r="5" spans="14:16" ht="14.25">
      <c r="N5" s="61">
        <f t="array" ref="N5">INDEX($E$3:$E$200,MATCH(0,COUNTIF($N$1:N4,$E$3:$E$200),0))</f>
        <v>3</v>
      </c>
      <c r="O5" s="21">
        <f t="shared" si="0"/>
        <v>2.54</v>
      </c>
      <c r="P5" s="32">
        <f t="shared" si="1"/>
        <v>0.62</v>
      </c>
    </row>
    <row r="6" spans="14:16" ht="14.25">
      <c r="N6" s="61">
        <f t="array" ref="N6">INDEX($E$3:$E$200,MATCH(0,COUNTIF($N$1:N5,$E$3:$E$200),0))</f>
        <v>2</v>
      </c>
      <c r="O6" s="21">
        <f t="shared" si="0"/>
        <v>2.54</v>
      </c>
      <c r="P6" s="32">
        <f t="shared" si="1"/>
        <v>0</v>
      </c>
    </row>
    <row r="7" spans="14:16" ht="14.25">
      <c r="N7" s="61">
        <f t="array" ref="N7">INDEX($E$3:$E$200,MATCH(0,COUNTIF($N$1:N6,$E$3:$E$200),0))</f>
        <v>11</v>
      </c>
      <c r="O7" s="21">
        <f t="shared" si="0"/>
        <v>2.54</v>
      </c>
      <c r="P7" s="32">
        <f t="shared" si="1"/>
        <v>-0.62</v>
      </c>
    </row>
    <row r="8" spans="14:16" ht="14.25">
      <c r="N8" s="61">
        <f t="array" ref="N8">INDEX($E$3:$E$200,MATCH(0,COUNTIF($N$1:N7,$E$3:$E$200),0))</f>
        <v>14</v>
      </c>
      <c r="O8" s="21">
        <f t="shared" si="0"/>
        <v>2.54</v>
      </c>
      <c r="P8" s="32">
        <f t="shared" si="1"/>
        <v>0.62</v>
      </c>
    </row>
    <row r="9" spans="14:16" ht="15.75" customHeight="1">
      <c r="N9" s="61">
        <f t="array" ref="N9">INDEX($E$3:$E$200,MATCH(0,COUNTIF($N$1:N8,$E$3:$E$200),0))</f>
        <v>13</v>
      </c>
      <c r="O9" s="21">
        <f t="shared" si="0"/>
        <v>2.54</v>
      </c>
      <c r="P9" s="32">
        <f t="shared" si="1"/>
        <v>0.38</v>
      </c>
    </row>
    <row r="10" spans="14:16" ht="14.25">
      <c r="N10" s="61">
        <f t="array" ref="N10">INDEX($E$3:$E$200,MATCH(0,COUNTIF($N$1:N9,$E$3:$E$200),0))</f>
        <v>12</v>
      </c>
      <c r="O10" s="21">
        <f t="shared" si="0"/>
        <v>2.54</v>
      </c>
      <c r="P10" s="32">
        <f t="shared" si="1"/>
        <v>-0.38</v>
      </c>
    </row>
    <row r="11" spans="14:16" ht="14.25">
      <c r="N11" s="61" t="str">
        <f t="array" ref="N11">INDEX($E$3:$E$200,MATCH(0,COUNTIF($N$1:N10,$E$3:$E$200),0))</f>
        <v/>
      </c>
      <c r="O11" s="21" t="str">
        <f t="shared" si="0"/>
        <v/>
      </c>
      <c r="P11" s="32" t="str">
        <f t="shared" si="1"/>
        <v/>
      </c>
    </row>
    <row r="12" spans="14:16" ht="14.25">
      <c r="N12" s="61"/>
      <c r="O12" s="21" t="str">
        <f t="shared" si="0"/>
        <v/>
      </c>
      <c r="P12" s="32" t="str">
        <f t="shared" si="1"/>
        <v/>
      </c>
    </row>
    <row r="13" spans="14:16" ht="14.25">
      <c r="N13" s="61"/>
      <c r="O13" s="21" t="str">
        <f t="shared" si="0"/>
        <v/>
      </c>
      <c r="P13" s="32" t="str">
        <f t="shared" si="1"/>
        <v/>
      </c>
    </row>
    <row r="14" spans="14:16" ht="14.25">
      <c r="N14" s="61"/>
      <c r="O14" s="21" t="str">
        <f t="shared" si="0"/>
        <v/>
      </c>
      <c r="P14" s="32" t="str">
        <f t="shared" si="1"/>
        <v/>
      </c>
    </row>
    <row r="15" spans="1:16" ht="15">
      <c r="A15" s="28" t="s">
        <v>128</v>
      </c>
      <c r="N15" s="61"/>
      <c r="O15" s="21" t="str">
        <f t="shared" si="0"/>
        <v/>
      </c>
      <c r="P15" s="32" t="str">
        <f t="shared" si="1"/>
        <v/>
      </c>
    </row>
    <row r="16" spans="1:16" ht="14.25">
      <c r="A16" t="s">
        <v>97</v>
      </c>
      <c r="B16">
        <v>10</v>
      </c>
      <c r="C16">
        <v>2.54</v>
      </c>
      <c r="D16">
        <v>-0.62</v>
      </c>
      <c r="E16" s="59">
        <v>1</v>
      </c>
      <c r="N16" s="61"/>
      <c r="O16" s="21" t="str">
        <f t="shared" si="0"/>
        <v/>
      </c>
      <c r="P16" s="32" t="str">
        <f t="shared" si="1"/>
        <v/>
      </c>
    </row>
    <row r="17" spans="1:16" ht="14.25">
      <c r="A17" t="s">
        <v>96</v>
      </c>
      <c r="B17">
        <v>10</v>
      </c>
      <c r="C17">
        <v>2.54</v>
      </c>
      <c r="D17">
        <v>0.62</v>
      </c>
      <c r="E17" s="59">
        <v>3</v>
      </c>
      <c r="N17" s="61"/>
      <c r="O17" s="21" t="str">
        <f t="shared" si="0"/>
        <v/>
      </c>
      <c r="P17" s="32" t="str">
        <f t="shared" si="1"/>
        <v/>
      </c>
    </row>
    <row r="18" spans="14:16" ht="14.25">
      <c r="N18" s="61"/>
      <c r="O18" s="21" t="str">
        <f t="shared" si="0"/>
        <v/>
      </c>
      <c r="P18" s="32" t="str">
        <f t="shared" si="1"/>
        <v/>
      </c>
    </row>
    <row r="19" spans="14:16" ht="14.25">
      <c r="N19" s="61"/>
      <c r="O19" s="21" t="str">
        <f t="shared" si="0"/>
        <v/>
      </c>
      <c r="P19" s="32" t="str">
        <f t="shared" si="1"/>
        <v/>
      </c>
    </row>
    <row r="20" spans="14:16" ht="14.25">
      <c r="N20" s="61"/>
      <c r="O20" s="21" t="str">
        <f t="shared" si="0"/>
        <v/>
      </c>
      <c r="P20" s="32" t="str">
        <f t="shared" si="1"/>
        <v/>
      </c>
    </row>
    <row r="21" spans="14:16" ht="14.25">
      <c r="N21" s="61"/>
      <c r="O21" s="21" t="str">
        <f t="shared" si="0"/>
        <v/>
      </c>
      <c r="P21" s="32" t="str">
        <f t="shared" si="1"/>
        <v/>
      </c>
    </row>
    <row r="22" spans="14:16" ht="14.25">
      <c r="N22" s="61"/>
      <c r="O22" s="21" t="str">
        <f t="shared" si="0"/>
        <v/>
      </c>
      <c r="P22" s="32" t="str">
        <f t="shared" si="1"/>
        <v/>
      </c>
    </row>
    <row r="23" spans="14:16" ht="14.25">
      <c r="N23" s="61"/>
      <c r="O23" s="21" t="str">
        <f t="shared" si="0"/>
        <v/>
      </c>
      <c r="P23" s="32" t="str">
        <f t="shared" si="1"/>
        <v/>
      </c>
    </row>
    <row r="24" spans="14:16" ht="14.25">
      <c r="N24" s="61"/>
      <c r="O24" s="21" t="str">
        <f t="shared" si="0"/>
        <v/>
      </c>
      <c r="P24" s="32" t="str">
        <f t="shared" si="1"/>
        <v/>
      </c>
    </row>
    <row r="25" spans="14:16" ht="14.25">
      <c r="N25" s="61"/>
      <c r="O25" s="21" t="str">
        <f t="shared" si="0"/>
        <v/>
      </c>
      <c r="P25" s="32" t="str">
        <f t="shared" si="1"/>
        <v/>
      </c>
    </row>
    <row r="26" spans="14:16" ht="14.25">
      <c r="N26" s="61"/>
      <c r="O26" s="21" t="str">
        <f t="shared" si="0"/>
        <v/>
      </c>
      <c r="P26" s="32" t="str">
        <f t="shared" si="1"/>
        <v/>
      </c>
    </row>
    <row r="27" spans="14:16" ht="14.25">
      <c r="N27" s="61"/>
      <c r="O27" s="21" t="str">
        <f t="shared" si="0"/>
        <v/>
      </c>
      <c r="P27" s="32" t="str">
        <f t="shared" si="1"/>
        <v/>
      </c>
    </row>
    <row r="28" spans="1:16" ht="15">
      <c r="A28" s="28" t="s">
        <v>129</v>
      </c>
      <c r="N28" s="61"/>
      <c r="O28" s="21" t="str">
        <f t="shared" si="0"/>
        <v/>
      </c>
      <c r="P28" s="32" t="str">
        <f t="shared" si="1"/>
        <v/>
      </c>
    </row>
    <row r="29" spans="1:16" ht="14.25">
      <c r="A29" t="s">
        <v>97</v>
      </c>
      <c r="B29">
        <v>10</v>
      </c>
      <c r="C29">
        <v>2.54</v>
      </c>
      <c r="D29">
        <v>-0.62</v>
      </c>
      <c r="E29" s="59">
        <v>1</v>
      </c>
      <c r="N29" s="61"/>
      <c r="O29" s="21" t="str">
        <f t="shared" si="0"/>
        <v/>
      </c>
      <c r="P29" s="32" t="str">
        <f t="shared" si="1"/>
        <v/>
      </c>
    </row>
    <row r="30" spans="1:16" ht="14.25">
      <c r="A30" t="s">
        <v>96</v>
      </c>
      <c r="B30">
        <v>10</v>
      </c>
      <c r="C30">
        <v>2.54</v>
      </c>
      <c r="D30">
        <v>0.62</v>
      </c>
      <c r="E30" s="59">
        <v>3</v>
      </c>
      <c r="N30" s="61"/>
      <c r="O30" s="21" t="str">
        <f t="shared" si="0"/>
        <v/>
      </c>
      <c r="P30" s="32" t="str">
        <f t="shared" si="1"/>
        <v/>
      </c>
    </row>
    <row r="31" spans="1:16" ht="14.25">
      <c r="A31" t="s">
        <v>98</v>
      </c>
      <c r="B31">
        <v>10</v>
      </c>
      <c r="C31">
        <v>2.54</v>
      </c>
      <c r="D31">
        <v>0</v>
      </c>
      <c r="E31" s="59">
        <v>2</v>
      </c>
      <c r="N31" s="61"/>
      <c r="O31" s="21" t="str">
        <f t="shared" si="0"/>
        <v/>
      </c>
      <c r="P31" s="32" t="str">
        <f t="shared" si="1"/>
        <v/>
      </c>
    </row>
    <row r="32" spans="14:16" ht="14.25">
      <c r="N32" s="61"/>
      <c r="O32" s="21" t="str">
        <f t="shared" si="0"/>
        <v/>
      </c>
      <c r="P32" s="32" t="str">
        <f t="shared" si="1"/>
        <v/>
      </c>
    </row>
    <row r="33" spans="14:16" ht="14.25">
      <c r="N33" s="61"/>
      <c r="O33" s="21" t="str">
        <f t="shared" si="0"/>
        <v/>
      </c>
      <c r="P33" s="32" t="str">
        <f t="shared" si="1"/>
        <v/>
      </c>
    </row>
    <row r="34" spans="14:16" ht="14.25">
      <c r="N34" s="61"/>
      <c r="O34" s="21" t="str">
        <f t="shared" si="0"/>
        <v/>
      </c>
      <c r="P34" s="32" t="str">
        <f t="shared" si="1"/>
        <v/>
      </c>
    </row>
    <row r="35" spans="14:16" ht="14.25">
      <c r="N35" s="61"/>
      <c r="O35" s="21" t="str">
        <f t="shared" si="0"/>
        <v/>
      </c>
      <c r="P35" s="32" t="str">
        <f t="shared" si="1"/>
        <v/>
      </c>
    </row>
    <row r="36" spans="14:16" ht="14.25">
      <c r="N36" s="61"/>
      <c r="O36" s="21" t="str">
        <f t="shared" si="0"/>
        <v/>
      </c>
      <c r="P36" s="32" t="str">
        <f t="shared" si="1"/>
        <v/>
      </c>
    </row>
    <row r="37" spans="14:16" ht="14.25">
      <c r="N37" s="61"/>
      <c r="O37" s="21" t="str">
        <f t="shared" si="0"/>
        <v/>
      </c>
      <c r="P37" s="32" t="str">
        <f t="shared" si="1"/>
        <v/>
      </c>
    </row>
    <row r="38" spans="14:16" ht="14.25">
      <c r="N38" s="61"/>
      <c r="O38" s="21" t="str">
        <f t="shared" si="0"/>
        <v/>
      </c>
      <c r="P38" s="32" t="str">
        <f t="shared" si="1"/>
        <v/>
      </c>
    </row>
    <row r="39" spans="14:16" ht="15" thickBot="1">
      <c r="N39" s="62"/>
      <c r="O39" s="33" t="str">
        <f t="shared" si="0"/>
        <v/>
      </c>
      <c r="P39" s="34" t="str">
        <f t="shared" si="1"/>
        <v/>
      </c>
    </row>
    <row r="41" spans="1:1" ht="15">
      <c r="A41" s="28" t="s">
        <v>90</v>
      </c>
    </row>
    <row r="42" spans="1:5" ht="14.25">
      <c r="A42" t="s">
        <v>97</v>
      </c>
      <c r="B42">
        <v>10</v>
      </c>
      <c r="C42">
        <v>2.54</v>
      </c>
      <c r="D42">
        <v>-0.62</v>
      </c>
      <c r="E42" s="59">
        <v>1</v>
      </c>
    </row>
    <row r="43" spans="1:5" ht="14.25">
      <c r="A43" t="s">
        <v>96</v>
      </c>
      <c r="B43">
        <v>10</v>
      </c>
      <c r="C43">
        <v>2.54</v>
      </c>
      <c r="D43">
        <v>0.62</v>
      </c>
      <c r="E43" s="59">
        <v>3</v>
      </c>
    </row>
    <row r="44" spans="1:5" ht="14.25">
      <c r="A44" t="s">
        <v>98</v>
      </c>
      <c r="B44">
        <v>10</v>
      </c>
      <c r="C44">
        <v>2.54</v>
      </c>
      <c r="D44">
        <v>0</v>
      </c>
      <c r="E44" s="59">
        <v>2</v>
      </c>
    </row>
    <row r="54" spans="1:1" ht="15">
      <c r="A54" s="28" t="s">
        <v>91</v>
      </c>
    </row>
    <row r="55" spans="1:5" ht="14.25">
      <c r="A55" t="s">
        <v>97</v>
      </c>
      <c r="B55">
        <v>10</v>
      </c>
      <c r="C55">
        <v>2.54</v>
      </c>
      <c r="D55">
        <v>-0.62</v>
      </c>
      <c r="E55" s="59">
        <v>11</v>
      </c>
    </row>
    <row r="56" spans="1:5" ht="14.25">
      <c r="A56" t="s">
        <v>96</v>
      </c>
      <c r="B56">
        <v>10</v>
      </c>
      <c r="C56">
        <v>2.54</v>
      </c>
      <c r="D56">
        <v>0.62</v>
      </c>
      <c r="E56" s="59">
        <v>14</v>
      </c>
    </row>
    <row r="57" spans="1:5" ht="14.25">
      <c r="A57" t="s">
        <v>99</v>
      </c>
      <c r="B57">
        <v>10</v>
      </c>
      <c r="C57">
        <v>2.54</v>
      </c>
      <c r="D57">
        <v>0.38</v>
      </c>
      <c r="E57" s="59">
        <v>13</v>
      </c>
    </row>
    <row r="58" spans="1:5" ht="14.25">
      <c r="A58" t="s">
        <v>100</v>
      </c>
      <c r="B58">
        <v>10</v>
      </c>
      <c r="C58">
        <v>2.54</v>
      </c>
      <c r="D58">
        <v>-0.38</v>
      </c>
      <c r="E58" s="59">
        <v>12</v>
      </c>
    </row>
    <row r="67" spans="1:1" ht="15">
      <c r="A67" s="28" t="s">
        <v>92</v>
      </c>
    </row>
    <row r="80" spans="1:1" ht="15">
      <c r="A80" s="28" t="s">
        <v>93</v>
      </c>
    </row>
    <row r="81" spans="1:5" ht="14.25">
      <c r="A81" t="s">
        <v>97</v>
      </c>
      <c r="B81">
        <v>10</v>
      </c>
      <c r="C81">
        <v>2.54</v>
      </c>
      <c r="D81">
        <v>-0.62</v>
      </c>
      <c r="E81" s="59">
        <v>1</v>
      </c>
    </row>
    <row r="93" spans="1:1" ht="15">
      <c r="A93" s="28" t="s">
        <v>94</v>
      </c>
    </row>
    <row r="94" spans="1:5" ht="14.25">
      <c r="A94" t="s">
        <v>97</v>
      </c>
      <c r="B94">
        <v>10</v>
      </c>
      <c r="C94">
        <v>2.54</v>
      </c>
      <c r="D94">
        <v>-0.62</v>
      </c>
      <c r="E94" s="59">
        <v>1</v>
      </c>
    </row>
    <row r="95" spans="1:5" ht="14.25">
      <c r="A95" t="s">
        <v>96</v>
      </c>
      <c r="B95">
        <v>10</v>
      </c>
      <c r="C95">
        <v>2.54</v>
      </c>
      <c r="D95">
        <v>0.62</v>
      </c>
      <c r="E95" s="59">
        <v>3</v>
      </c>
    </row>
    <row r="106" spans="1:1" ht="15">
      <c r="A106" s="28" t="s">
        <v>95</v>
      </c>
    </row>
    <row r="107" spans="1:5" ht="14.25">
      <c r="A107" t="s">
        <v>97</v>
      </c>
      <c r="B107">
        <v>10</v>
      </c>
      <c r="C107">
        <v>2.54</v>
      </c>
      <c r="D107">
        <v>-0.62</v>
      </c>
      <c r="E107" s="59">
        <v>1</v>
      </c>
    </row>
    <row r="108" spans="1:5" ht="14.25">
      <c r="A108" t="s">
        <v>96</v>
      </c>
      <c r="B108">
        <v>10</v>
      </c>
      <c r="C108">
        <v>2.54</v>
      </c>
      <c r="D108">
        <v>0.62</v>
      </c>
      <c r="E108" s="59">
        <v>3</v>
      </c>
    </row>
    <row r="109" spans="1:5" ht="14.25">
      <c r="A109" t="s">
        <v>98</v>
      </c>
      <c r="B109">
        <v>10</v>
      </c>
      <c r="C109">
        <v>2.54</v>
      </c>
      <c r="D109">
        <v>0</v>
      </c>
      <c r="E109" s="59">
        <v>2</v>
      </c>
    </row>
    <row r="119" spans="1:1" ht="15">
      <c r="A119" s="28" t="s">
        <v>166</v>
      </c>
    </row>
    <row r="120" spans="1:5" ht="14.25">
      <c r="A120" t="s">
        <v>97</v>
      </c>
      <c r="B120">
        <v>10</v>
      </c>
      <c r="C120">
        <v>2.54</v>
      </c>
      <c r="D120">
        <v>-0.62</v>
      </c>
      <c r="E120" s="59">
        <v>1</v>
      </c>
    </row>
    <row r="132" spans="1:1" ht="15">
      <c r="A132" s="28" t="s">
        <v>167</v>
      </c>
    </row>
    <row r="133" spans="1:5" ht="14.25">
      <c r="A133" t="s">
        <v>97</v>
      </c>
      <c r="B133">
        <v>10</v>
      </c>
      <c r="C133">
        <v>2.54</v>
      </c>
      <c r="D133">
        <v>-0.62</v>
      </c>
      <c r="E133" s="59">
        <v>1</v>
      </c>
    </row>
    <row r="134" spans="1:5" ht="14.25">
      <c r="A134" t="s">
        <v>96</v>
      </c>
      <c r="B134">
        <v>10</v>
      </c>
      <c r="C134">
        <v>2.54</v>
      </c>
      <c r="D134">
        <v>0.62</v>
      </c>
      <c r="E134" s="59">
        <v>3</v>
      </c>
    </row>
    <row r="145" spans="1:1" ht="15">
      <c r="A145" s="28" t="s">
        <v>168</v>
      </c>
    </row>
    <row r="146" spans="1:5" ht="14.25">
      <c r="A146" t="s">
        <v>97</v>
      </c>
      <c r="B146">
        <v>10</v>
      </c>
      <c r="C146">
        <v>2.54</v>
      </c>
      <c r="D146">
        <v>-0.62</v>
      </c>
      <c r="E146" s="59">
        <v>1</v>
      </c>
    </row>
    <row r="147" spans="1:5" ht="14.25">
      <c r="A147" t="s">
        <v>96</v>
      </c>
      <c r="B147">
        <v>10</v>
      </c>
      <c r="C147">
        <v>2.54</v>
      </c>
      <c r="D147">
        <v>0.62</v>
      </c>
      <c r="E147" s="59">
        <v>3</v>
      </c>
    </row>
    <row r="148" spans="1:5" ht="14.25">
      <c r="A148" t="s">
        <v>98</v>
      </c>
      <c r="B148">
        <v>10</v>
      </c>
      <c r="C148">
        <v>2.54</v>
      </c>
      <c r="D148">
        <v>0</v>
      </c>
      <c r="E148" s="59">
        <v>2</v>
      </c>
    </row>
    <row r="158" spans="1:1" ht="15">
      <c r="A158" s="28" t="s">
        <v>172</v>
      </c>
    </row>
    <row r="159" spans="1:11" ht="14.25">
      <c r="A159" t="str">
        <f>IF(userCHAIRS=4,תצורות!G159,"")</f>
        <v/>
      </c>
      <c r="B159" t="str">
        <f>IF(userCHAIRS=4,תצורות!H159,"")</f>
        <v/>
      </c>
      <c r="C159" t="str">
        <f>IF(userCHAIRS=4,תצורות!I159,"")</f>
        <v/>
      </c>
      <c r="D159" t="str">
        <f>IF(userCHAIRS=4,תצורות!J159,"")</f>
        <v/>
      </c>
      <c r="E159" t="str">
        <f>IF(userCHAIRS=4,תצורות!K159,"")</f>
        <v/>
      </c>
      <c r="G159" t="s">
        <v>97</v>
      </c>
      <c r="H159">
        <v>10</v>
      </c>
      <c r="I159">
        <v>2.54</v>
      </c>
      <c r="J159">
        <v>-0.62</v>
      </c>
      <c r="K159" s="59">
        <v>11</v>
      </c>
    </row>
    <row r="160" spans="1:11" ht="14.25">
      <c r="A160" t="str">
        <f>IF(userCHAIRS=4,תצורות!G160,"")</f>
        <v/>
      </c>
      <c r="B160" t="str">
        <f>IF(userCHAIRS=4,תצורות!H160,"")</f>
        <v/>
      </c>
      <c r="C160" t="str">
        <f>IF(userCHAIRS=4,תצורות!I160,"")</f>
        <v/>
      </c>
      <c r="D160" t="str">
        <f>IF(userCHAIRS=4,תצורות!J160,"")</f>
        <v/>
      </c>
      <c r="E160" t="str">
        <f>IF(userCHAIRS=4,תצורות!K160,"")</f>
        <v/>
      </c>
      <c r="G160" t="s">
        <v>96</v>
      </c>
      <c r="H160">
        <v>10</v>
      </c>
      <c r="I160">
        <v>2.54</v>
      </c>
      <c r="J160">
        <v>0.62</v>
      </c>
      <c r="K160" s="59">
        <v>14</v>
      </c>
    </row>
    <row r="161" spans="1:11" ht="14.25">
      <c r="A161" t="str">
        <f>IF(userCHAIRS=4,תצורות!G161,"")</f>
        <v/>
      </c>
      <c r="B161" t="str">
        <f>IF(userCHAIRS=4,תצורות!H161,"")</f>
        <v/>
      </c>
      <c r="C161" t="str">
        <f>IF(userCHAIRS=4,תצורות!I161,"")</f>
        <v/>
      </c>
      <c r="D161" t="str">
        <f>IF(userCHAIRS=4,תצורות!J161,"")</f>
        <v/>
      </c>
      <c r="E161" t="str">
        <f>IF(userCHAIRS=4,תצורות!K161,"")</f>
        <v/>
      </c>
      <c r="G161" t="s">
        <v>99</v>
      </c>
      <c r="H161">
        <v>10</v>
      </c>
      <c r="I161">
        <v>2.54</v>
      </c>
      <c r="J161">
        <v>0.38</v>
      </c>
      <c r="K161" s="59">
        <v>13</v>
      </c>
    </row>
    <row r="162" spans="1:11" ht="14.25">
      <c r="A162" t="str">
        <f>IF(userCHAIRS=4,תצורות!G162,"")</f>
        <v/>
      </c>
      <c r="B162" t="str">
        <f>IF(userCHAIRS=4,תצורות!H162,"")</f>
        <v/>
      </c>
      <c r="C162" t="str">
        <f>IF(userCHAIRS=4,תצורות!I162,"")</f>
        <v/>
      </c>
      <c r="D162" t="str">
        <f>IF(userCHAIRS=4,תצורות!J162,"")</f>
        <v/>
      </c>
      <c r="E162" t="str">
        <f>IF(userCHAIRS=4,תצורות!K162,"")</f>
        <v/>
      </c>
      <c r="G162" t="s">
        <v>100</v>
      </c>
      <c r="H162">
        <v>10</v>
      </c>
      <c r="I162">
        <v>2.54</v>
      </c>
      <c r="J162">
        <v>-0.38</v>
      </c>
      <c r="K162" s="59">
        <v>12</v>
      </c>
    </row>
    <row r="163" spans="1:11" ht="14.25">
      <c r="A163" t="str">
        <f>IF(OR(userCHAIRS=1,userCHAIRS=2,userCHAIRS=3),תצורות!G163,"")</f>
        <v>כסא נוסע שמאל קיצוני</v>
      </c>
      <c r="B163">
        <f>IF(OR(userCHAIRS=1,userCHAIRS=2,userCHAIRS=3),תצורות!H163,"")</f>
        <v>10</v>
      </c>
      <c r="C163">
        <f>IF(OR(userCHAIRS=1,userCHAIRS=2,userCHAIRS=3),תצורות!I163,"")</f>
        <v>2.54</v>
      </c>
      <c r="D163">
        <f>IF(OR(userCHAIRS=1,userCHAIRS=2,userCHAIRS=3),תצורות!J163,"")</f>
        <v>-0.62</v>
      </c>
      <c r="E163">
        <f>IF(OR(userCHAIRS=1,userCHAIRS=2,userCHAIRS=3),תצורות!K163,"")</f>
        <v>1</v>
      </c>
      <c r="G163" t="s">
        <v>97</v>
      </c>
      <c r="H163">
        <v>10</v>
      </c>
      <c r="I163">
        <v>2.54</v>
      </c>
      <c r="J163">
        <v>-0.62</v>
      </c>
      <c r="K163" s="59">
        <v>1</v>
      </c>
    </row>
    <row r="164" spans="1:11" ht="14.25">
      <c r="A164" t="str">
        <f>IF(OR(userCHAIRS=2,userCHAIRS=3),תצורות!G164,"")</f>
        <v>כסא נוסע ימין קיצוני</v>
      </c>
      <c r="B164">
        <f>IF(OR(userCHAIRS=2,userCHAIRS=3),תצורות!H164,"")</f>
        <v>10</v>
      </c>
      <c r="C164">
        <f>IF(OR(userCHAIRS=2,userCHAIRS=3),תצורות!I164,"")</f>
        <v>2.54</v>
      </c>
      <c r="D164">
        <f>IF(OR(userCHAIRS=2,userCHAIRS=3),תצורות!J164,"")</f>
        <v>0.62</v>
      </c>
      <c r="E164">
        <f>IF(OR(userCHAIRS=2,userCHAIRS=3),תצורות!K164,"")</f>
        <v>3</v>
      </c>
      <c r="G164" t="s">
        <v>96</v>
      </c>
      <c r="H164">
        <v>10</v>
      </c>
      <c r="I164">
        <v>2.54</v>
      </c>
      <c r="J164">
        <v>0.62</v>
      </c>
      <c r="K164" s="59">
        <v>3</v>
      </c>
    </row>
    <row r="165" spans="1:11" ht="14.25">
      <c r="A165" t="str">
        <f>IF(userCHAIRS=3,תצורות!G165,"")</f>
        <v>כסא נוסע מרכזי</v>
      </c>
      <c r="B165">
        <f>IF(userCHAIRS=3,תצורות!H165,"")</f>
        <v>10</v>
      </c>
      <c r="C165">
        <f>IF(userCHAIRS=3,תצורות!I165,"")</f>
        <v>2.54</v>
      </c>
      <c r="D165">
        <f>IF(userCHAIRS=3,תצורות!J165,"")</f>
        <v>0</v>
      </c>
      <c r="E165">
        <f>IF(userCHAIRS=3,תצורות!K165,"")</f>
        <v>2</v>
      </c>
      <c r="G165" t="s">
        <v>98</v>
      </c>
      <c r="H165">
        <v>10</v>
      </c>
      <c r="I165">
        <v>2.54</v>
      </c>
      <c r="J165">
        <v>0</v>
      </c>
      <c r="K165" s="59">
        <v>2</v>
      </c>
    </row>
  </sheetData>
  <sheetProtection password="C6EF" sheet="1" objects="1" scenarios="1"/>
  <mergeCells count="1">
    <mergeCell ref="N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>
    <tabColor rgb="FFFF0000"/>
  </sheetPr>
  <dimension ref="D2:O40"/>
  <sheetViews>
    <sheetView rightToLeft="1" workbookViewId="0" topLeftCell="A1">
      <selection pane="topLeft" activeCell="J7" sqref="J7"/>
    </sheetView>
  </sheetViews>
  <sheetFormatPr defaultRowHeight="14.25"/>
  <cols>
    <col min="8" max="8" width="9.875" bestFit="1" customWidth="1"/>
    <col min="10" max="10" width="9.625" customWidth="1"/>
    <col min="11" max="12" width="9.625" hidden="1" customWidth="1"/>
    <col min="13" max="13" width="9.625" customWidth="1"/>
    <col min="15" max="15" width="85" bestFit="1" customWidth="1"/>
  </cols>
  <sheetData>
    <row r="1" ht="15" thickBot="1"/>
    <row r="2" spans="4:15" ht="15">
      <c r="D2" s="279" t="s">
        <v>73</v>
      </c>
      <c r="E2" s="281"/>
      <c r="G2" s="279" t="s">
        <v>16</v>
      </c>
      <c r="H2" s="280"/>
      <c r="I2" s="280"/>
      <c r="J2" s="280"/>
      <c r="K2" s="280"/>
      <c r="L2" s="280"/>
      <c r="M2" s="281"/>
      <c r="O2" s="25" t="s">
        <v>17</v>
      </c>
    </row>
    <row r="3" spans="4:15" ht="15">
      <c r="D3" s="316" t="s">
        <v>74</v>
      </c>
      <c r="E3" s="317"/>
      <c r="G3" s="91" t="s">
        <v>6</v>
      </c>
      <c r="H3" s="92" t="s">
        <v>15</v>
      </c>
      <c r="I3" s="24" t="s">
        <v>0</v>
      </c>
      <c r="J3" s="92" t="s">
        <v>11</v>
      </c>
      <c r="K3" s="92" t="s">
        <v>3</v>
      </c>
      <c r="L3" s="92" t="s">
        <v>4</v>
      </c>
      <c r="M3" s="10" t="s">
        <v>12</v>
      </c>
      <c r="O3" s="26" t="s">
        <v>18</v>
      </c>
    </row>
    <row r="4" spans="4:15" ht="15.75" thickBot="1">
      <c r="D4" s="314" t="s">
        <v>75</v>
      </c>
      <c r="E4" s="315"/>
      <c r="G4" s="93" t="s">
        <v>85</v>
      </c>
      <c r="H4" s="81">
        <v>44629</v>
      </c>
      <c r="I4" s="226">
        <v>1605.60</v>
      </c>
      <c r="J4" s="227">
        <v>3.54</v>
      </c>
      <c r="K4" s="227">
        <f>I4*J4</f>
        <v>5683.824</v>
      </c>
      <c r="L4" s="227">
        <f>I4*M4</f>
        <v>11.2392</v>
      </c>
      <c r="M4" s="228">
        <v>0.007</v>
      </c>
      <c r="O4" s="26" t="s">
        <v>19</v>
      </c>
    </row>
    <row r="5" spans="7:15" ht="15">
      <c r="G5" s="93" t="s">
        <v>84</v>
      </c>
      <c r="H5" s="81">
        <v>44628</v>
      </c>
      <c r="I5" s="226">
        <v>1609.50</v>
      </c>
      <c r="J5" s="227">
        <v>3.50</v>
      </c>
      <c r="K5" s="227"/>
      <c r="L5" s="227"/>
      <c r="M5" s="228">
        <v>-0.01</v>
      </c>
      <c r="O5" s="27" t="s">
        <v>20</v>
      </c>
    </row>
    <row r="6" spans="7:15" ht="15">
      <c r="G6" s="93" t="s">
        <v>86</v>
      </c>
      <c r="H6" s="81">
        <v>44637</v>
      </c>
      <c r="I6" s="226">
        <v>1610.80</v>
      </c>
      <c r="J6" s="227">
        <v>3.52</v>
      </c>
      <c r="K6" s="227"/>
      <c r="L6" s="227"/>
      <c r="M6" s="228">
        <v>-0.01</v>
      </c>
      <c r="O6" s="116"/>
    </row>
    <row r="7" spans="7:15" ht="15.75" thickBot="1">
      <c r="G7" s="89" t="s">
        <v>87</v>
      </c>
      <c r="H7" s="82">
        <v>44637</v>
      </c>
      <c r="I7" s="229">
        <v>1613.10</v>
      </c>
      <c r="J7" s="230">
        <v>3.52</v>
      </c>
      <c r="K7" s="230"/>
      <c r="L7" s="230"/>
      <c r="M7" s="231">
        <v>-0.01</v>
      </c>
      <c r="O7" s="116"/>
    </row>
    <row r="8" ht="15" thickBot="1"/>
    <row r="9" spans="4:13" ht="14.25" customHeight="1">
      <c r="D9" s="279" t="s">
        <v>37</v>
      </c>
      <c r="E9" s="280"/>
      <c r="F9" s="280"/>
      <c r="G9" s="280"/>
      <c r="H9" s="280"/>
      <c r="I9" s="280"/>
      <c r="J9" s="280"/>
      <c r="K9" s="280"/>
      <c r="L9" s="280"/>
      <c r="M9" s="281"/>
    </row>
    <row r="10" spans="4:13" ht="15">
      <c r="D10" s="312" t="s">
        <v>2</v>
      </c>
      <c r="E10" s="313"/>
      <c r="F10" s="313"/>
      <c r="G10" s="313"/>
      <c r="H10" s="313"/>
      <c r="I10" s="24" t="s">
        <v>0</v>
      </c>
      <c r="J10" s="9" t="s">
        <v>11</v>
      </c>
      <c r="K10" s="9" t="s">
        <v>3</v>
      </c>
      <c r="L10" s="9" t="s">
        <v>4</v>
      </c>
      <c r="M10" s="10" t="s">
        <v>12</v>
      </c>
    </row>
    <row r="11" spans="4:13" ht="14.25">
      <c r="D11" s="309" t="s">
        <v>68</v>
      </c>
      <c r="E11" s="310"/>
      <c r="F11" s="310"/>
      <c r="G11" s="310"/>
      <c r="H11" s="311"/>
      <c r="I11" s="84">
        <v>12.36</v>
      </c>
      <c r="J11" s="84">
        <v>4190</v>
      </c>
      <c r="K11" s="85">
        <f>IFERROR(I11*J11,"")</f>
        <v>51788.399999999994</v>
      </c>
      <c r="L11" s="85">
        <f>IFERROR(I11*M11,"")</f>
        <v>-5932.799999999999</v>
      </c>
      <c r="M11" s="86">
        <v>-480</v>
      </c>
    </row>
    <row r="12" spans="4:13" ht="14.25">
      <c r="D12" s="309" t="s">
        <v>69</v>
      </c>
      <c r="E12" s="310"/>
      <c r="F12" s="310"/>
      <c r="G12" s="310"/>
      <c r="H12" s="311"/>
      <c r="I12" s="84">
        <v>12.36</v>
      </c>
      <c r="J12" s="84">
        <v>4190</v>
      </c>
      <c r="K12" s="84">
        <f t="shared" si="0" ref="K12:K24">IFERROR(I12*J12,"")</f>
        <v>51788.399999999994</v>
      </c>
      <c r="L12" s="84">
        <f t="shared" si="1" ref="L12:L24">IFERROR(I12*M12,"")</f>
        <v>5932.799999999999</v>
      </c>
      <c r="M12" s="86">
        <v>480</v>
      </c>
    </row>
    <row r="13" spans="4:13" ht="14.25">
      <c r="D13" s="309" t="s">
        <v>70</v>
      </c>
      <c r="E13" s="310"/>
      <c r="F13" s="310"/>
      <c r="G13" s="310"/>
      <c r="H13" s="311"/>
      <c r="I13" s="84">
        <v>12.38</v>
      </c>
      <c r="J13" s="84">
        <v>5060</v>
      </c>
      <c r="K13" s="84">
        <f t="shared" si="0"/>
        <v>62642.80</v>
      </c>
      <c r="L13" s="84">
        <f t="shared" si="1"/>
        <v>-5694.80</v>
      </c>
      <c r="M13" s="86">
        <v>-460</v>
      </c>
    </row>
    <row r="14" spans="4:13" ht="14.25">
      <c r="D14" s="309" t="s">
        <v>71</v>
      </c>
      <c r="E14" s="310"/>
      <c r="F14" s="310"/>
      <c r="G14" s="310"/>
      <c r="H14" s="311"/>
      <c r="I14" s="84">
        <v>10.02</v>
      </c>
      <c r="J14" s="84">
        <v>5060</v>
      </c>
      <c r="K14" s="84">
        <f t="shared" si="0"/>
        <v>50701.20</v>
      </c>
      <c r="L14" s="84">
        <f t="shared" si="1"/>
        <v>0</v>
      </c>
      <c r="M14" s="86">
        <v>0</v>
      </c>
    </row>
    <row r="15" spans="4:13" ht="14.25">
      <c r="D15" s="309" t="s">
        <v>72</v>
      </c>
      <c r="E15" s="310"/>
      <c r="F15" s="310"/>
      <c r="G15" s="310"/>
      <c r="H15" s="311"/>
      <c r="I15" s="84">
        <v>12.38</v>
      </c>
      <c r="J15" s="84">
        <v>5060</v>
      </c>
      <c r="K15" s="84">
        <f t="shared" si="0"/>
        <v>62642.80</v>
      </c>
      <c r="L15" s="84">
        <f t="shared" si="1"/>
        <v>5694.80</v>
      </c>
      <c r="M15" s="86">
        <v>460</v>
      </c>
    </row>
    <row r="16" spans="4:13" ht="14.25">
      <c r="D16" s="306" t="s">
        <v>23</v>
      </c>
      <c r="E16" s="307"/>
      <c r="F16" s="307"/>
      <c r="G16" s="307"/>
      <c r="H16" s="308"/>
      <c r="I16" s="21" t="str">
        <f>IFERROR(VLOOKUP($D16,'משקל מערכות'!$C$4:$H$18,2,FALSE),"")</f>
        <v/>
      </c>
      <c r="J16" s="21" t="str">
        <f>IFERROR(VLOOKUP($D16,'משקל מערכות'!$C$4:$H$18,3,FALSE),"")</f>
        <v/>
      </c>
      <c r="K16" s="21" t="str">
        <f t="shared" si="0"/>
        <v/>
      </c>
      <c r="L16" s="21" t="str">
        <f t="shared" si="1"/>
        <v/>
      </c>
      <c r="M16" s="32" t="str">
        <f>IFERROR(VLOOKUP($D16,'משקל מערכות'!$C$4:$H$18,6,FALSE),"")</f>
        <v/>
      </c>
    </row>
    <row r="17" spans="4:13" ht="14.25">
      <c r="D17" s="306" t="s">
        <v>24</v>
      </c>
      <c r="E17" s="307"/>
      <c r="F17" s="307"/>
      <c r="G17" s="307"/>
      <c r="H17" s="308"/>
      <c r="I17" s="21">
        <f>IFERROR(VLOOKUP($D17,'משקל מערכות'!$C$4:$H$18,2,FALSE),"")</f>
        <v>31.30</v>
      </c>
      <c r="J17" s="21">
        <f>IFERROR(VLOOKUP($D17,'משקל מערכות'!$C$4:$H$18,3,FALSE),"")</f>
        <v>1.03</v>
      </c>
      <c r="K17" s="21">
        <f t="shared" si="0"/>
        <v>32.239000000000004</v>
      </c>
      <c r="L17" s="21">
        <f t="shared" si="1"/>
        <v>-16.589000000000002</v>
      </c>
      <c r="M17" s="32">
        <f>IFERROR(VLOOKUP($D17,'משקל מערכות'!$C$4:$H$18,6,FALSE),"")</f>
        <v>-0.53</v>
      </c>
    </row>
    <row r="18" spans="4:13" ht="14.25">
      <c r="D18" s="306" t="s">
        <v>26</v>
      </c>
      <c r="E18" s="307"/>
      <c r="F18" s="307"/>
      <c r="G18" s="307"/>
      <c r="H18" s="308"/>
      <c r="I18" s="21" t="str">
        <f>IFERROR(VLOOKUP($D18,'משקל מערכות'!$C$4:$H$18,2,FALSE),"")</f>
        <v/>
      </c>
      <c r="J18" s="21" t="str">
        <f>IFERROR(VLOOKUP($D18,'משקל מערכות'!$C$4:$H$18,3,FALSE),"")</f>
        <v/>
      </c>
      <c r="K18" s="21" t="str">
        <f t="shared" si="0"/>
        <v/>
      </c>
      <c r="L18" s="21" t="str">
        <f t="shared" si="1"/>
        <v/>
      </c>
      <c r="M18" s="32" t="str">
        <f>IFERROR(VLOOKUP($D18,'משקל מערכות'!$C$4:$H$18,6,FALSE),"")</f>
        <v/>
      </c>
    </row>
    <row r="19" spans="4:13" ht="14.25">
      <c r="D19" s="306" t="s">
        <v>27</v>
      </c>
      <c r="E19" s="307"/>
      <c r="F19" s="307"/>
      <c r="G19" s="307"/>
      <c r="H19" s="308"/>
      <c r="I19" s="21">
        <f>IFERROR(VLOOKUP($D19,'משקל מערכות'!$C$4:$H$18,2,FALSE),"")</f>
        <v>33</v>
      </c>
      <c r="J19" s="21">
        <f>IFERROR(VLOOKUP($D19,'משקל מערכות'!$C$4:$H$18,3,FALSE),"")</f>
        <v>4.83</v>
      </c>
      <c r="K19" s="21">
        <f t="shared" si="0"/>
        <v>159.39000000000001</v>
      </c>
      <c r="L19" s="21">
        <f t="shared" si="1"/>
        <v>0</v>
      </c>
      <c r="M19" s="32">
        <f>IFERROR(VLOOKUP($D19,'משקל מערכות'!$C$4:$H$18,6,FALSE),"")</f>
        <v>0</v>
      </c>
    </row>
    <row r="20" spans="4:13" ht="14.25">
      <c r="D20" s="306" t="s">
        <v>28</v>
      </c>
      <c r="E20" s="307"/>
      <c r="F20" s="307"/>
      <c r="G20" s="307"/>
      <c r="H20" s="308"/>
      <c r="I20" s="21" t="str">
        <f>IFERROR(VLOOKUP($D20,'משקל מערכות'!$C$4:$H$18,2,FALSE),"")</f>
        <v/>
      </c>
      <c r="J20" s="21" t="str">
        <f>IFERROR(VLOOKUP($D20,'משקל מערכות'!$C$4:$H$18,3,FALSE),"")</f>
        <v/>
      </c>
      <c r="K20" s="21" t="str">
        <f t="shared" si="0"/>
        <v/>
      </c>
      <c r="L20" s="21" t="str">
        <f t="shared" si="1"/>
        <v/>
      </c>
      <c r="M20" s="32" t="str">
        <f>IFERROR(VLOOKUP($D20,'משקל מערכות'!$C$4:$H$18,6,FALSE),"")</f>
        <v/>
      </c>
    </row>
    <row r="21" spans="4:13" ht="14.25">
      <c r="D21" s="306" t="s">
        <v>29</v>
      </c>
      <c r="E21" s="307"/>
      <c r="F21" s="307"/>
      <c r="G21" s="307"/>
      <c r="H21" s="308"/>
      <c r="I21" s="21" t="str">
        <f>IFERROR(VLOOKUP($D21,'משקל מערכות'!$C$4:$H$18,2,FALSE),"")</f>
        <v/>
      </c>
      <c r="J21" s="21" t="str">
        <f>IFERROR(VLOOKUP($D21,'משקל מערכות'!$C$4:$H$18,3,FALSE),"")</f>
        <v/>
      </c>
      <c r="K21" s="21" t="str">
        <f t="shared" si="0"/>
        <v/>
      </c>
      <c r="L21" s="21" t="str">
        <f t="shared" si="1"/>
        <v/>
      </c>
      <c r="M21" s="32" t="str">
        <f>IFERROR(VLOOKUP($D21,'משקל מערכות'!$C$4:$H$18,6,FALSE),"")</f>
        <v/>
      </c>
    </row>
    <row r="22" spans="4:13" ht="14.25">
      <c r="D22" s="306"/>
      <c r="E22" s="307"/>
      <c r="F22" s="307"/>
      <c r="G22" s="307"/>
      <c r="H22" s="308"/>
      <c r="I22" s="21" t="str">
        <f>IFERROR(VLOOKUP($D22,'משקל מערכות'!$C$4:$H$18,2,FALSE),"")</f>
        <v/>
      </c>
      <c r="J22" s="21" t="str">
        <f>IFERROR(VLOOKUP($D22,'משקל מערכות'!$C$4:$H$18,3,FALSE),"")</f>
        <v/>
      </c>
      <c r="K22" s="21" t="str">
        <f t="shared" si="0"/>
        <v/>
      </c>
      <c r="L22" s="21" t="str">
        <f t="shared" si="1"/>
        <v/>
      </c>
      <c r="M22" s="32" t="str">
        <f>IFERROR(VLOOKUP($D22,'משקל מערכות'!$C$4:$H$18,6,FALSE),"")</f>
        <v/>
      </c>
    </row>
    <row r="23" spans="4:13" ht="14.25">
      <c r="D23" s="306"/>
      <c r="E23" s="307"/>
      <c r="F23" s="307"/>
      <c r="G23" s="307"/>
      <c r="H23" s="308"/>
      <c r="I23" s="21" t="str">
        <f>IFERROR(VLOOKUP($D23,'משקל מערכות'!$C$4:$H$18,2,FALSE),"")</f>
        <v/>
      </c>
      <c r="J23" s="21" t="str">
        <f>IFERROR(VLOOKUP($D23,'משקל מערכות'!$C$4:$H$18,3,FALSE),"")</f>
        <v/>
      </c>
      <c r="K23" s="21" t="str">
        <f t="shared" si="0"/>
        <v/>
      </c>
      <c r="L23" s="21" t="str">
        <f t="shared" si="1"/>
        <v/>
      </c>
      <c r="M23" s="32" t="str">
        <f>IFERROR(VLOOKUP($D23,'משקל מערכות'!$C$4:$H$18,6,FALSE),"")</f>
        <v/>
      </c>
    </row>
    <row r="24" spans="4:13" ht="15" thickBot="1">
      <c r="D24" s="318"/>
      <c r="E24" s="319"/>
      <c r="F24" s="319"/>
      <c r="G24" s="319"/>
      <c r="H24" s="320"/>
      <c r="I24" s="33" t="str">
        <f>IFERROR(VLOOKUP($D24,'משקל מערכות'!$C$4:$H$18,2,FALSE),"")</f>
        <v/>
      </c>
      <c r="J24" s="33" t="str">
        <f>IFERROR(VLOOKUP($D24,'משקל מערכות'!$C$4:$H$18,3,FALSE),"")</f>
        <v/>
      </c>
      <c r="K24" s="33" t="str">
        <f t="shared" si="0"/>
        <v/>
      </c>
      <c r="L24" s="33" t="str">
        <f t="shared" si="1"/>
        <v/>
      </c>
      <c r="M24" s="34" t="str">
        <f>IFERROR(VLOOKUP($D24,'משקל מערכות'!$C$4:$H$18,6,FALSE),"")</f>
        <v/>
      </c>
    </row>
    <row r="25" spans="4:13" ht="14.25">
      <c r="D25" s="114"/>
      <c r="E25" s="114"/>
      <c r="F25" s="114"/>
      <c r="G25" s="114"/>
      <c r="H25" s="114"/>
      <c r="I25" s="6"/>
      <c r="J25" s="6"/>
      <c r="K25" s="6"/>
      <c r="L25" s="6"/>
      <c r="M25" s="6"/>
    </row>
    <row r="26" spans="4:13" ht="14.25">
      <c r="D26" s="114"/>
      <c r="E26" s="114"/>
      <c r="F26" s="114"/>
      <c r="G26" s="114"/>
      <c r="H26" s="114"/>
      <c r="I26" s="6"/>
      <c r="J26" s="6"/>
      <c r="K26" s="6"/>
      <c r="L26" s="6"/>
      <c r="M26" s="6"/>
    </row>
    <row r="27" spans="4:13" ht="14.25">
      <c r="D27" s="35"/>
      <c r="E27" s="35"/>
      <c r="F27" s="35"/>
      <c r="G27" s="35"/>
      <c r="H27" s="35"/>
      <c r="I27" s="6"/>
      <c r="J27" s="6"/>
      <c r="K27" s="6"/>
      <c r="L27" s="6"/>
      <c r="M27" s="6"/>
    </row>
    <row r="34" ht="15" thickBot="1"/>
    <row r="35" spans="7:9" ht="15.75" thickBot="1">
      <c r="G35" s="304" t="s">
        <v>82</v>
      </c>
      <c r="H35" s="305"/>
      <c r="I35" s="103">
        <v>2370</v>
      </c>
    </row>
    <row r="40" spans="9:9" ht="14.25" thickBot="1">
      <c r="I40" s="1"/>
    </row>
  </sheetData>
  <sheetProtection password="C6EF" sheet="1" objects="1" scenarios="1"/>
  <mergeCells count="21">
    <mergeCell ref="D4:E4"/>
    <mergeCell ref="D3:E3"/>
    <mergeCell ref="D22:H22"/>
    <mergeCell ref="D24:H24"/>
    <mergeCell ref="D23:H23"/>
    <mergeCell ref="G35:H35"/>
    <mergeCell ref="D2:E2"/>
    <mergeCell ref="G2:M2"/>
    <mergeCell ref="D21:H21"/>
    <mergeCell ref="D20:H20"/>
    <mergeCell ref="D19:H19"/>
    <mergeCell ref="D18:H18"/>
    <mergeCell ref="D17:H17"/>
    <mergeCell ref="D16:H16"/>
    <mergeCell ref="D15:H15"/>
    <mergeCell ref="D14:H14"/>
    <mergeCell ref="D13:H13"/>
    <mergeCell ref="D12:H12"/>
    <mergeCell ref="D10:H10"/>
    <mergeCell ref="D9:M9"/>
    <mergeCell ref="D11:H11"/>
  </mergeCells>
  <dataValidations count="1">
    <dataValidation type="list" allowBlank="1" showInputMessage="1" showErrorMessage="1" sqref="I35">
      <formula1>נתונים!$AJ$2:$AJ$3</formula1>
    </dataValidation>
  </dataValidations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B2:H42"/>
  <sheetViews>
    <sheetView rightToLeft="1" workbookViewId="0" topLeftCell="A1">
      <selection pane="topLeft" activeCell="D18" sqref="D18"/>
    </sheetView>
  </sheetViews>
  <sheetFormatPr defaultRowHeight="14.25"/>
  <cols>
    <col min="3" max="3" width="43.625" bestFit="1" customWidth="1"/>
    <col min="4" max="8" width="10" customWidth="1"/>
  </cols>
  <sheetData>
    <row r="1" ht="15" thickBot="1"/>
    <row r="2" spans="2:8" ht="14.25">
      <c r="B2" s="51"/>
      <c r="C2" s="52"/>
      <c r="D2" s="52"/>
      <c r="E2" s="52"/>
      <c r="F2" s="54"/>
      <c r="G2" s="54"/>
      <c r="H2" s="53"/>
    </row>
    <row r="3" spans="2:8" ht="14.25">
      <c r="B3" s="8" t="s">
        <v>43</v>
      </c>
      <c r="C3" s="9" t="s">
        <v>22</v>
      </c>
      <c r="D3" s="9" t="s">
        <v>21</v>
      </c>
      <c r="E3" s="9" t="s">
        <v>11</v>
      </c>
      <c r="F3" s="48" t="s">
        <v>3</v>
      </c>
      <c r="G3" s="48" t="s">
        <v>4</v>
      </c>
      <c r="H3" s="10" t="s">
        <v>12</v>
      </c>
    </row>
    <row r="4" spans="2:8" ht="14.25">
      <c r="B4" s="87"/>
      <c r="C4" s="84"/>
      <c r="D4" s="84"/>
      <c r="E4" s="84"/>
      <c r="F4" s="88"/>
      <c r="G4" s="88"/>
      <c r="H4" s="86"/>
    </row>
    <row r="5" spans="2:8" ht="14.25">
      <c r="B5" s="87"/>
      <c r="C5" s="84"/>
      <c r="D5" s="84"/>
      <c r="E5" s="84"/>
      <c r="F5" s="88"/>
      <c r="G5" s="88"/>
      <c r="H5" s="86"/>
    </row>
    <row r="6" spans="2:8" ht="14.25">
      <c r="B6" s="22">
        <f>IF(OR($B$27:$B$29,$B$36:$B$39),IF(userFLIR="DSP",1,0),0)</f>
        <v>0</v>
      </c>
      <c r="C6" s="84" t="s">
        <v>24</v>
      </c>
      <c r="D6" s="84">
        <v>31.30</v>
      </c>
      <c r="E6" s="84">
        <v>1.03</v>
      </c>
      <c r="F6" s="88">
        <f t="shared" si="0" ref="F6:F18">D6*E6</f>
        <v>32.239000000000004</v>
      </c>
      <c r="G6" s="88">
        <f t="shared" si="1" ref="G6:G18">D6*H6</f>
        <v>-16.589000000000002</v>
      </c>
      <c r="H6" s="86">
        <v>-0.53</v>
      </c>
    </row>
    <row r="7" spans="2:8" ht="14.25">
      <c r="B7" s="22">
        <f>IF(OR($B$27:$B$29,$B$36:$B$39),IF(userFLIR="SHAPO",1,0),0)</f>
        <v>1</v>
      </c>
      <c r="C7" s="84" t="s">
        <v>25</v>
      </c>
      <c r="D7" s="84">
        <v>18</v>
      </c>
      <c r="E7" s="84">
        <v>1.03</v>
      </c>
      <c r="F7" s="88">
        <f t="shared" si="0"/>
        <v>18.54</v>
      </c>
      <c r="G7" s="88">
        <f t="shared" si="1"/>
        <v>-9.540000000000001</v>
      </c>
      <c r="H7" s="86">
        <v>-0.53</v>
      </c>
    </row>
    <row r="8" spans="2:8" ht="14.25">
      <c r="B8" s="22"/>
      <c r="C8" s="84"/>
      <c r="D8" s="84"/>
      <c r="E8" s="84"/>
      <c r="F8" s="88"/>
      <c r="G8" s="88"/>
      <c r="H8" s="86"/>
    </row>
    <row r="9" spans="2:8" ht="14.25">
      <c r="B9" s="166">
        <f>IF(OR($B$27:$B$29,$B$36:$B$39),IF(userXP="כן",1,0),0)</f>
        <v>1</v>
      </c>
      <c r="C9" s="84" t="s">
        <v>27</v>
      </c>
      <c r="D9" s="84">
        <v>33</v>
      </c>
      <c r="E9" s="84">
        <v>4.83</v>
      </c>
      <c r="F9" s="88">
        <f t="shared" si="0"/>
        <v>159.39000000000001</v>
      </c>
      <c r="G9" s="88">
        <f t="shared" si="1"/>
        <v>0</v>
      </c>
      <c r="H9" s="86">
        <v>0</v>
      </c>
    </row>
    <row r="10" spans="2:8" ht="14.25">
      <c r="B10" s="22">
        <f>IF(OR($B$32:$B$39),IF(userBAMBI="בבטן",1,0),0)</f>
        <v>0</v>
      </c>
      <c r="C10" s="84" t="s">
        <v>152</v>
      </c>
      <c r="D10" s="84">
        <v>40</v>
      </c>
      <c r="E10" s="84">
        <v>2.25</v>
      </c>
      <c r="F10" s="88">
        <f t="shared" si="2" ref="F10">D10*E10</f>
        <v>90</v>
      </c>
      <c r="G10" s="88">
        <f t="shared" si="3" ref="G10">D10*H10</f>
        <v>0</v>
      </c>
      <c r="H10" s="86">
        <v>0</v>
      </c>
    </row>
    <row r="11" spans="2:8" ht="14.25">
      <c r="B11" s="22">
        <f>IF(OR($B$32:$B$39),IF(userBAMBI="בסל",1,0),0)</f>
        <v>0</v>
      </c>
      <c r="C11" s="84" t="s">
        <v>151</v>
      </c>
      <c r="D11" s="84">
        <v>40</v>
      </c>
      <c r="E11" s="84">
        <v>3.43</v>
      </c>
      <c r="F11" s="88">
        <f t="shared" si="0"/>
        <v>137.20000000000002</v>
      </c>
      <c r="G11" s="88">
        <f t="shared" si="1"/>
        <v>-50</v>
      </c>
      <c r="H11" s="86">
        <v>-1.25</v>
      </c>
    </row>
    <row r="12" spans="2:8" ht="14.25">
      <c r="B12" s="22">
        <f>IF(OR($B$32:$B$39),IF(userBASKET="כן",1,0),0)</f>
        <v>0</v>
      </c>
      <c r="C12" s="84" t="s">
        <v>88</v>
      </c>
      <c r="D12" s="84">
        <v>30.60</v>
      </c>
      <c r="E12" s="84">
        <v>3.43</v>
      </c>
      <c r="F12" s="88">
        <f t="shared" si="0"/>
        <v>104.95800000000001</v>
      </c>
      <c r="G12" s="88">
        <f t="shared" si="1"/>
        <v>-38.25</v>
      </c>
      <c r="H12" s="86">
        <v>-1.25</v>
      </c>
    </row>
    <row r="13" spans="2:8" ht="14.25">
      <c r="B13" s="22">
        <f>IF(OR($B$32:$B$39),IF(userBASKET="כן",1,0),0)</f>
        <v>0</v>
      </c>
      <c r="C13" s="84" t="s">
        <v>89</v>
      </c>
      <c r="D13" s="84">
        <f>userBASKETkg</f>
        <v>0</v>
      </c>
      <c r="E13" s="84">
        <v>3.43</v>
      </c>
      <c r="F13" s="88">
        <f t="shared" si="0"/>
        <v>0</v>
      </c>
      <c r="G13" s="88">
        <f t="shared" si="1"/>
        <v>0</v>
      </c>
      <c r="H13" s="86">
        <v>-1.25</v>
      </c>
    </row>
    <row r="14" spans="2:8" ht="14.25">
      <c r="B14" s="22">
        <f>IF(OR($B$32:$B$39),IF(userCARGO="כן",1,0),0)</f>
        <v>1</v>
      </c>
      <c r="C14" s="84" t="s">
        <v>30</v>
      </c>
      <c r="D14" s="84">
        <v>13.60</v>
      </c>
      <c r="E14" s="84">
        <v>3.38</v>
      </c>
      <c r="F14" s="88">
        <f t="shared" si="0"/>
        <v>45.967999999999996</v>
      </c>
      <c r="G14" s="88">
        <f t="shared" si="1"/>
        <v>0</v>
      </c>
      <c r="H14" s="86">
        <v>0</v>
      </c>
    </row>
    <row r="15" spans="2:8" ht="15" thickBot="1">
      <c r="B15" s="180">
        <f>IF(OR($B$32:$B$39),IF(userCARGO="כן",1,0),0)</f>
        <v>1</v>
      </c>
      <c r="C15" s="181" t="s">
        <v>31</v>
      </c>
      <c r="D15" s="181">
        <v>1.70</v>
      </c>
      <c r="E15" s="181">
        <v>0.28</v>
      </c>
      <c r="F15" s="182">
        <f t="shared" si="0"/>
        <v>0.47600000000000003</v>
      </c>
      <c r="G15" s="182">
        <f t="shared" si="1"/>
        <v>1.105</v>
      </c>
      <c r="H15" s="183">
        <v>0.65</v>
      </c>
    </row>
    <row r="16" spans="2:8" ht="14.25">
      <c r="B16" s="184">
        <f>IF(AND(OR($B$32:$B$39),NOT(userBAMBI="מחובר"),userCARGO="כן"),1,0)</f>
        <v>1</v>
      </c>
      <c r="C16" s="185" t="s">
        <v>142</v>
      </c>
      <c r="D16" s="185">
        <f>IF(ראשי!$C$38=ogeCALC,userCARGOkg,0)</f>
        <v>0</v>
      </c>
      <c r="E16" s="185">
        <v>3.38</v>
      </c>
      <c r="F16" s="186">
        <f t="shared" si="0"/>
        <v>0</v>
      </c>
      <c r="G16" s="186">
        <f t="shared" si="1"/>
        <v>0</v>
      </c>
      <c r="H16" s="187">
        <v>0</v>
      </c>
    </row>
    <row r="17" spans="2:8" ht="14.25">
      <c r="B17" s="22"/>
      <c r="C17" s="188"/>
      <c r="D17" s="188"/>
      <c r="E17" s="188"/>
      <c r="F17" s="189"/>
      <c r="G17" s="189"/>
      <c r="H17" s="190"/>
    </row>
    <row r="18" spans="2:8" ht="15" thickBot="1">
      <c r="B18" s="169">
        <f>IF(AND(OR($B$32:$B$39),userBAMBI="מחובר"),1,0)</f>
        <v>0</v>
      </c>
      <c r="C18" s="191" t="s">
        <v>156</v>
      </c>
      <c r="D18" s="191">
        <f>IF(ראשי!$C$38=ogeCALC,userWATERkg*680+40,0)</f>
        <v>0</v>
      </c>
      <c r="E18" s="191">
        <v>3.38</v>
      </c>
      <c r="F18" s="192">
        <f t="shared" si="0"/>
        <v>0</v>
      </c>
      <c r="G18" s="192">
        <f t="shared" si="1"/>
        <v>0</v>
      </c>
      <c r="H18" s="193">
        <v>0</v>
      </c>
    </row>
    <row r="25" spans="3:3" ht="14.25">
      <c r="C25" t="s">
        <v>106</v>
      </c>
    </row>
    <row r="27" spans="2:3" ht="15">
      <c r="B27" t="b">
        <f>ראשי!$D$7='משקל מערכות'!C27</f>
        <v>0</v>
      </c>
      <c r="C27" s="30" t="s">
        <v>124</v>
      </c>
    </row>
    <row r="28" spans="2:3" ht="15">
      <c r="B28" t="b">
        <f>ראשי!$D$7='משקל מערכות'!C28</f>
        <v>0</v>
      </c>
      <c r="C28" s="30" t="s">
        <v>125</v>
      </c>
    </row>
    <row r="29" spans="2:3" ht="15">
      <c r="B29" t="b">
        <f>ראשי!$D$7='משקל מערכות'!C29</f>
        <v>0</v>
      </c>
      <c r="C29" s="30" t="s">
        <v>126</v>
      </c>
    </row>
    <row r="30" spans="2:3" ht="15">
      <c r="B30" t="b">
        <f>ראשי!$D$7='משקל מערכות'!C30</f>
        <v>0</v>
      </c>
      <c r="C30" s="30" t="s">
        <v>130</v>
      </c>
    </row>
    <row r="31" spans="2:3" ht="15">
      <c r="B31" t="b">
        <f>ראשי!$D$7='משקל מערכות'!C31</f>
        <v>0</v>
      </c>
      <c r="C31" s="30" t="s">
        <v>131</v>
      </c>
    </row>
    <row r="32" spans="2:3" ht="15">
      <c r="B32" t="b">
        <f>ראשי!$D$7='משקל מערכות'!C32</f>
        <v>0</v>
      </c>
      <c r="C32" s="30" t="s">
        <v>139</v>
      </c>
    </row>
    <row r="33" spans="2:3" ht="15">
      <c r="B33" t="b">
        <f>ראשי!$D$7='משקל מערכות'!C33</f>
        <v>0</v>
      </c>
      <c r="C33" s="30" t="s">
        <v>136</v>
      </c>
    </row>
    <row r="34" spans="2:3" ht="15">
      <c r="B34" t="b">
        <f>ראשי!$D$7='משקל מערכות'!C34</f>
        <v>0</v>
      </c>
      <c r="C34" s="30" t="s">
        <v>137</v>
      </c>
    </row>
    <row r="35" spans="2:3" ht="15">
      <c r="B35" t="b">
        <f>ראשי!$D$7='משקל מערכות'!C35</f>
        <v>0</v>
      </c>
      <c r="C35" s="30" t="s">
        <v>138</v>
      </c>
    </row>
    <row r="36" spans="2:3" ht="15">
      <c r="B36" t="b">
        <f>ראשי!$D$7='משקל מערכות'!C36</f>
        <v>0</v>
      </c>
      <c r="C36" s="30" t="s">
        <v>169</v>
      </c>
    </row>
    <row r="37" spans="2:3" ht="15">
      <c r="B37" t="b">
        <f>ראשי!$D$7='משקל מערכות'!C37</f>
        <v>1</v>
      </c>
      <c r="C37" s="30" t="s">
        <v>170</v>
      </c>
    </row>
    <row r="38" spans="2:3" ht="15">
      <c r="B38" t="b">
        <f>ראשי!$D$7='משקל מערכות'!C38</f>
        <v>0</v>
      </c>
      <c r="C38" s="30" t="s">
        <v>171</v>
      </c>
    </row>
    <row r="39" spans="2:3" ht="15">
      <c r="B39" t="b">
        <f>ראשי!$D$7='משקל מערכות'!C39</f>
        <v>0</v>
      </c>
      <c r="C39" s="30" t="s">
        <v>173</v>
      </c>
    </row>
    <row r="40" spans="3:3" ht="15">
      <c r="C40" s="30"/>
    </row>
    <row r="41" spans="3:3" ht="15">
      <c r="C41" s="30"/>
    </row>
    <row r="42" spans="3:3" ht="15">
      <c r="C42" s="30"/>
    </row>
  </sheetData>
  <sheetProtection algorithmName="SHA-512" hashValue="w92tyE/HnBCuMwEb9eN8rkJgB3a2Xx0zvWSfrMImEEtGy1UrG6IOZPMV5wvTzOHIrEOSVjBdnPXGJW4cQqtg6g==" saltValue="uPbUg1k8kV99IvJMLQ/Kt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E1:X42"/>
  <sheetViews>
    <sheetView rightToLeft="1" workbookViewId="0" topLeftCell="A1">
      <selection pane="topLeft" activeCell="I21" sqref="I21"/>
    </sheetView>
  </sheetViews>
  <sheetFormatPr defaultRowHeight="14.25"/>
  <sheetData>
    <row r="1" spans="22:24" ht="14.25">
      <c r="V1" t="s">
        <v>116</v>
      </c>
      <c r="W1" t="s">
        <v>118</v>
      </c>
      <c r="X1" t="s">
        <v>119</v>
      </c>
    </row>
    <row r="2" spans="22:24" ht="14.25">
      <c r="V2">
        <v>0</v>
      </c>
      <c r="W2">
        <v>0</v>
      </c>
      <c r="X2" t="s">
        <v>48</v>
      </c>
    </row>
    <row r="3" spans="22:24" ht="15" thickBot="1">
      <c r="V3">
        <v>100</v>
      </c>
      <c r="W3">
        <v>1</v>
      </c>
      <c r="X3" t="s">
        <v>47</v>
      </c>
    </row>
    <row r="4" spans="5:23" ht="15.75" thickBot="1">
      <c r="E4" s="121"/>
      <c r="F4" s="122">
        <v>10</v>
      </c>
      <c r="G4" s="123">
        <v>15</v>
      </c>
      <c r="H4" s="123">
        <v>20</v>
      </c>
      <c r="I4" s="123">
        <v>25</v>
      </c>
      <c r="J4" s="123">
        <v>30</v>
      </c>
      <c r="K4" s="123">
        <v>35</v>
      </c>
      <c r="L4" s="124">
        <v>40</v>
      </c>
      <c r="V4">
        <v>200</v>
      </c>
      <c r="W4">
        <v>2</v>
      </c>
    </row>
    <row r="5" spans="5:23" ht="15">
      <c r="E5" s="125">
        <v>0</v>
      </c>
      <c r="F5" s="126">
        <v>2800</v>
      </c>
      <c r="G5" s="127">
        <v>2800</v>
      </c>
      <c r="H5" s="127">
        <v>2800</v>
      </c>
      <c r="I5" s="127">
        <v>2785</v>
      </c>
      <c r="J5" s="127">
        <v>2775</v>
      </c>
      <c r="K5" s="127">
        <v>2765</v>
      </c>
      <c r="L5" s="128">
        <v>2750</v>
      </c>
      <c r="V5">
        <v>300</v>
      </c>
      <c r="W5">
        <v>3</v>
      </c>
    </row>
    <row r="6" spans="5:23" ht="15">
      <c r="E6" s="129">
        <v>500</v>
      </c>
      <c r="F6" s="115">
        <v>2800</v>
      </c>
      <c r="G6" s="130">
        <v>2800</v>
      </c>
      <c r="H6" s="130">
        <v>2790</v>
      </c>
      <c r="I6" s="130">
        <v>2775</v>
      </c>
      <c r="J6" s="130">
        <v>2765</v>
      </c>
      <c r="K6" s="130">
        <v>2750</v>
      </c>
      <c r="L6" s="131">
        <v>2740</v>
      </c>
      <c r="V6">
        <v>400</v>
      </c>
      <c r="W6">
        <v>4</v>
      </c>
    </row>
    <row r="7" spans="5:23" ht="15">
      <c r="E7" s="129">
        <v>1000</v>
      </c>
      <c r="F7" s="132">
        <v>2800</v>
      </c>
      <c r="G7" s="133">
        <v>2800</v>
      </c>
      <c r="H7" s="133">
        <v>2775</v>
      </c>
      <c r="I7" s="133">
        <v>2765</v>
      </c>
      <c r="J7" s="133">
        <v>2750</v>
      </c>
      <c r="K7" s="133">
        <v>2725</v>
      </c>
      <c r="L7" s="134">
        <v>2690</v>
      </c>
      <c r="V7">
        <v>500</v>
      </c>
      <c r="W7">
        <v>5</v>
      </c>
    </row>
    <row r="8" spans="5:23" ht="15">
      <c r="E8" s="129">
        <v>1500</v>
      </c>
      <c r="F8" s="115">
        <v>2790</v>
      </c>
      <c r="G8" s="130">
        <v>2775</v>
      </c>
      <c r="H8" s="130">
        <v>2760</v>
      </c>
      <c r="I8" s="130">
        <v>2745</v>
      </c>
      <c r="J8" s="130">
        <v>2735</v>
      </c>
      <c r="K8" s="130">
        <v>2690</v>
      </c>
      <c r="L8" s="131">
        <v>2640</v>
      </c>
      <c r="V8">
        <v>600</v>
      </c>
      <c r="W8">
        <v>6</v>
      </c>
    </row>
    <row r="9" spans="5:23" ht="15">
      <c r="E9" s="129">
        <v>2000</v>
      </c>
      <c r="F9" s="132">
        <v>2780</v>
      </c>
      <c r="G9" s="133">
        <v>2760</v>
      </c>
      <c r="H9" s="133">
        <v>2740</v>
      </c>
      <c r="I9" s="133">
        <v>2730</v>
      </c>
      <c r="J9" s="133">
        <v>2720</v>
      </c>
      <c r="K9" s="130">
        <v>2660</v>
      </c>
      <c r="L9" s="134">
        <v>2590</v>
      </c>
      <c r="V9">
        <v>700</v>
      </c>
      <c r="W9">
        <v>7</v>
      </c>
    </row>
    <row r="10" spans="5:23" ht="15">
      <c r="E10" s="129">
        <v>2500</v>
      </c>
      <c r="F10" s="115">
        <v>2760</v>
      </c>
      <c r="G10" s="130">
        <v>2740</v>
      </c>
      <c r="H10" s="130">
        <v>2730</v>
      </c>
      <c r="I10" s="130">
        <v>2715</v>
      </c>
      <c r="J10" s="130">
        <v>2680</v>
      </c>
      <c r="K10" s="130">
        <v>2615</v>
      </c>
      <c r="L10" s="135">
        <v>2530</v>
      </c>
      <c r="V10">
        <v>800</v>
      </c>
      <c r="W10">
        <v>8</v>
      </c>
    </row>
    <row r="11" spans="5:23" ht="15">
      <c r="E11" s="129">
        <v>3000</v>
      </c>
      <c r="F11" s="132">
        <v>2740</v>
      </c>
      <c r="G11" s="133">
        <v>2725</v>
      </c>
      <c r="H11" s="133">
        <v>2710</v>
      </c>
      <c r="I11" s="133">
        <v>2675</v>
      </c>
      <c r="J11" s="133">
        <v>2640</v>
      </c>
      <c r="K11" s="136">
        <v>2560</v>
      </c>
      <c r="L11" s="137">
        <v>2485</v>
      </c>
      <c r="V11">
        <v>900</v>
      </c>
      <c r="W11">
        <v>9</v>
      </c>
    </row>
    <row r="12" spans="5:23" ht="15">
      <c r="E12" s="129">
        <v>3500</v>
      </c>
      <c r="F12" s="115">
        <v>2725</v>
      </c>
      <c r="G12" s="130">
        <v>2715</v>
      </c>
      <c r="H12" s="130">
        <v>2700</v>
      </c>
      <c r="I12" s="130">
        <v>2640</v>
      </c>
      <c r="J12" s="130">
        <v>2580</v>
      </c>
      <c r="K12" s="130">
        <v>2510</v>
      </c>
      <c r="L12" s="135">
        <v>2430</v>
      </c>
      <c r="V12">
        <v>1000</v>
      </c>
      <c r="W12">
        <v>10</v>
      </c>
    </row>
    <row r="13" spans="5:23" ht="15.75" thickBot="1">
      <c r="E13" s="138">
        <v>4000</v>
      </c>
      <c r="F13" s="139">
        <v>2715</v>
      </c>
      <c r="G13" s="140">
        <v>2680</v>
      </c>
      <c r="H13" s="140">
        <v>2650</v>
      </c>
      <c r="I13" s="140">
        <v>2585</v>
      </c>
      <c r="J13" s="140">
        <v>2540</v>
      </c>
      <c r="K13" s="141">
        <v>2460</v>
      </c>
      <c r="L13" s="142">
        <v>2390</v>
      </c>
      <c r="V13">
        <v>1100</v>
      </c>
      <c r="W13">
        <v>11</v>
      </c>
    </row>
    <row r="14" spans="22:23" ht="14.25">
      <c r="V14">
        <v>1200</v>
      </c>
      <c r="W14">
        <v>12</v>
      </c>
    </row>
    <row r="15" spans="6:23" ht="14.25">
      <c r="F15" s="143" t="s">
        <v>107</v>
      </c>
      <c r="G15" s="144">
        <f>ראשי!D36</f>
        <v>2000</v>
      </c>
      <c r="H15" s="145"/>
      <c r="I15" s="146"/>
      <c r="J15" s="147" t="s">
        <v>108</v>
      </c>
      <c r="K15" s="147" t="s">
        <v>109</v>
      </c>
      <c r="L15" s="148" t="s">
        <v>110</v>
      </c>
      <c r="V15">
        <v>1300</v>
      </c>
      <c r="W15">
        <v>13</v>
      </c>
    </row>
    <row r="16" spans="6:23" ht="14.25">
      <c r="F16" s="143" t="s">
        <v>111</v>
      </c>
      <c r="G16" s="149">
        <f>ראשי!G36</f>
        <v>20</v>
      </c>
      <c r="H16" s="150"/>
      <c r="I16" s="143"/>
      <c r="J16" s="143">
        <f>ROUNDDOWN(($G$15/500),0)*500</f>
        <v>2000</v>
      </c>
      <c r="K16" s="143">
        <f>ROUNDUP(($G$15/500),0)*500</f>
        <v>2000</v>
      </c>
      <c r="L16" s="151">
        <f>$G$15</f>
        <v>2000</v>
      </c>
      <c r="V16">
        <v>1400</v>
      </c>
      <c r="W16">
        <v>14</v>
      </c>
    </row>
    <row r="17" spans="6:23" ht="15">
      <c r="F17" s="143" t="s">
        <v>112</v>
      </c>
      <c r="G17" s="152">
        <f>$L$19+IF($G$18=TRUE,-80,0)</f>
        <v>2660</v>
      </c>
      <c r="H17" s="150" t="s">
        <v>113</v>
      </c>
      <c r="I17" s="143">
        <f>ROUNDDOWN(($G$16/5),0)*5</f>
        <v>20</v>
      </c>
      <c r="J17" s="143">
        <f>INDEX(OGEtable,MATCH(J16,$E$5:$E$13),MATCH(I17,$F$4:$L$4))</f>
        <v>2740</v>
      </c>
      <c r="K17" s="143">
        <f>INDEX(OGEtable,MATCH(K16,$E$5:$E$13),MATCH(I17,$F$4:$L$4))</f>
        <v>2740</v>
      </c>
      <c r="L17" s="153">
        <f>ROUND((K17-J17)*MOD($L$16,500)/500+J17,0)</f>
        <v>2740</v>
      </c>
      <c r="V17">
        <v>1500</v>
      </c>
      <c r="W17">
        <v>15</v>
      </c>
    </row>
    <row r="18" spans="6:23" ht="15">
      <c r="F18" s="154" t="s">
        <v>120</v>
      </c>
      <c r="G18" s="155" t="b">
        <f>maxPWRspare="מה''ק מינוס 80KG"</f>
        <v>1</v>
      </c>
      <c r="H18" s="150" t="s">
        <v>114</v>
      </c>
      <c r="I18" s="143">
        <f>ROUNDUP(($G$16/5),0)*5</f>
        <v>20</v>
      </c>
      <c r="J18" s="143">
        <f>INDEX(OGEtable,MATCH(J16,$E$5:$E$13),MATCH(I18,$F$4:$L$4))</f>
        <v>2740</v>
      </c>
      <c r="K18" s="143">
        <f>INDEX(OGEtable,MATCH(K16,$E$5:$E$13),MATCH(I18,$F$4:$L$4))</f>
        <v>2740</v>
      </c>
      <c r="L18" s="153">
        <f>ROUND((K18-J18)*MOD($L$16,500)/500+J18,0)</f>
        <v>2740</v>
      </c>
      <c r="V18">
        <v>1600</v>
      </c>
      <c r="W18">
        <v>16</v>
      </c>
    </row>
    <row r="19" spans="6:23" ht="15">
      <c r="F19" s="154"/>
      <c r="G19" s="156"/>
      <c r="H19" s="157"/>
      <c r="I19" s="158">
        <f>$G$16</f>
        <v>20</v>
      </c>
      <c r="J19" s="159"/>
      <c r="K19" s="160" t="s">
        <v>115</v>
      </c>
      <c r="L19" s="161">
        <f>ROUND($L$17-($L$17-$L$18)*MOD($I$19,5)/5,0)</f>
        <v>2740</v>
      </c>
      <c r="V19">
        <v>1700</v>
      </c>
      <c r="W19">
        <v>17</v>
      </c>
    </row>
    <row r="20" spans="22:23" ht="15" thickBot="1">
      <c r="V20">
        <v>1800</v>
      </c>
      <c r="W20">
        <v>18</v>
      </c>
    </row>
    <row r="21" spans="5:23" ht="15.75" thickBot="1">
      <c r="E21" s="288" t="s">
        <v>121</v>
      </c>
      <c r="F21" s="289"/>
      <c r="G21" s="290"/>
      <c r="I21" s="232" t="b">
        <f>AND(calcMETHOD=ogeCALC,OR(userCARGOkg&gt;0,userBAMBI="מחובר"))</f>
        <v>0</v>
      </c>
      <c r="J21" s="321" t="s">
        <v>186</v>
      </c>
      <c r="K21" s="322"/>
      <c r="L21" s="323"/>
      <c r="V21">
        <v>1900</v>
      </c>
      <c r="W21">
        <v>19</v>
      </c>
    </row>
    <row r="22" spans="5:23" ht="14.25">
      <c r="E22" s="75"/>
      <c r="F22" s="60" t="s">
        <v>122</v>
      </c>
      <c r="G22" s="162" t="s">
        <v>123</v>
      </c>
      <c r="V22">
        <v>2000</v>
      </c>
      <c r="W22">
        <v>20</v>
      </c>
    </row>
    <row r="23" spans="5:23" ht="14.25">
      <c r="E23" s="163" t="s">
        <v>65</v>
      </c>
      <c r="F23" s="36">
        <f>($G$17-נתונים!$X$34)/נתונים!$W$34</f>
        <v>3.269</v>
      </c>
      <c r="G23" s="65">
        <f>OGE</f>
        <v>2660</v>
      </c>
      <c r="V23">
        <v>2100</v>
      </c>
      <c r="W23">
        <v>21</v>
      </c>
    </row>
    <row r="24" spans="5:23" ht="15" thickBot="1">
      <c r="E24" s="164" t="s">
        <v>66</v>
      </c>
      <c r="F24" s="37">
        <f>($G$17-נתונים!$X$35)/נתונים!$W$35</f>
        <v>3.4358255033557046</v>
      </c>
      <c r="G24" s="66">
        <f>OGE</f>
        <v>2660</v>
      </c>
      <c r="V24">
        <v>2200</v>
      </c>
      <c r="W24">
        <v>22</v>
      </c>
    </row>
    <row r="25" spans="22:23" ht="14.25">
      <c r="V25">
        <v>2300</v>
      </c>
      <c r="W25">
        <v>23</v>
      </c>
    </row>
    <row r="26" spans="22:23" ht="14.25">
      <c r="V26">
        <v>2400</v>
      </c>
      <c r="W26">
        <v>24</v>
      </c>
    </row>
    <row r="27" spans="22:23" ht="14.25">
      <c r="V27">
        <v>2500</v>
      </c>
      <c r="W27">
        <v>25</v>
      </c>
    </row>
    <row r="28" spans="22:23" ht="14.25">
      <c r="V28">
        <v>2600</v>
      </c>
      <c r="W28">
        <v>26</v>
      </c>
    </row>
    <row r="29" spans="22:23" ht="14.25">
      <c r="V29">
        <v>2700</v>
      </c>
      <c r="W29">
        <v>27</v>
      </c>
    </row>
    <row r="30" spans="22:23" ht="14.25">
      <c r="V30">
        <v>2800</v>
      </c>
      <c r="W30">
        <v>28</v>
      </c>
    </row>
    <row r="31" spans="22:23" ht="14.25">
      <c r="V31">
        <v>2900</v>
      </c>
      <c r="W31">
        <v>29</v>
      </c>
    </row>
    <row r="32" spans="22:23" ht="14.25">
      <c r="V32">
        <v>3000</v>
      </c>
      <c r="W32">
        <v>30</v>
      </c>
    </row>
    <row r="33" spans="22:23" ht="14.25">
      <c r="V33">
        <v>3100</v>
      </c>
      <c r="W33">
        <v>31</v>
      </c>
    </row>
    <row r="34" spans="22:23" ht="14.25">
      <c r="V34">
        <v>3200</v>
      </c>
      <c r="W34">
        <v>32</v>
      </c>
    </row>
    <row r="35" spans="22:23" ht="14.25">
      <c r="V35">
        <v>3300</v>
      </c>
      <c r="W35">
        <v>33</v>
      </c>
    </row>
    <row r="36" spans="22:23" ht="14.25">
      <c r="V36">
        <v>3400</v>
      </c>
      <c r="W36">
        <v>34</v>
      </c>
    </row>
    <row r="37" spans="22:23" ht="14.25">
      <c r="V37">
        <v>3500</v>
      </c>
      <c r="W37">
        <v>35</v>
      </c>
    </row>
    <row r="38" spans="22:23" ht="14.25">
      <c r="V38">
        <v>3600</v>
      </c>
      <c r="W38">
        <v>36</v>
      </c>
    </row>
    <row r="39" spans="22:23" ht="14.25">
      <c r="V39">
        <v>3700</v>
      </c>
      <c r="W39">
        <v>37</v>
      </c>
    </row>
    <row r="40" spans="22:23" ht="14.25">
      <c r="V40">
        <v>3800</v>
      </c>
      <c r="W40">
        <v>38</v>
      </c>
    </row>
    <row r="41" spans="22:23" ht="14.25">
      <c r="V41">
        <v>3900</v>
      </c>
      <c r="W41">
        <v>39</v>
      </c>
    </row>
    <row r="42" spans="22:23" ht="14.25">
      <c r="V42">
        <v>4000</v>
      </c>
      <c r="W42">
        <v>40</v>
      </c>
    </row>
  </sheetData>
  <sheetProtection password="C6EF" sheet="1" objects="1" scenarios="1"/>
  <mergeCells count="2">
    <mergeCell ref="E21:G21"/>
    <mergeCell ref="J21:L21"/>
  </mergeCells>
  <conditionalFormatting sqref="F5:L13">
    <cfRule type="cellIs" priority="3" dxfId="5" operator="between">
      <formula>2499</formula>
      <formula>2350</formula>
    </cfRule>
    <cfRule type="cellIs" priority="4" dxfId="5" operator="between">
      <formula>2599</formula>
      <formula>2500</formula>
    </cfRule>
    <cfRule type="cellIs" priority="5" dxfId="3" operator="between">
      <formula>2799</formula>
      <formula>2700</formula>
    </cfRule>
    <cfRule type="cellIs" priority="6" dxfId="2" operator="greaterThan">
      <formula>2799</formula>
    </cfRule>
  </conditionalFormatting>
  <conditionalFormatting sqref="F19">
    <cfRule type="cellIs" priority="2" dxfId="1" operator="greaterThan">
      <formula>80</formula>
    </cfRule>
  </conditionalFormatting>
  <conditionalFormatting sqref="F19">
    <cfRule type="cellIs" priority="1" dxfId="1" operator="greaterThan">
      <formula>120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rightToLeft="1" workbookViewId="0" topLeftCell="A1">
      <selection pane="topLeft" activeCell="D9" sqref="D9"/>
    </sheetView>
  </sheetViews>
  <sheetFormatPr defaultRowHeight="14.25"/>
  <cols>
    <col min="2" max="2" width="9.875" bestFit="1" customWidth="1"/>
    <col min="3" max="3" width="45.75" customWidth="1"/>
  </cols>
  <sheetData>
    <row r="1" spans="1:4" ht="28.5" customHeight="1">
      <c r="A1" s="215" t="s">
        <v>77</v>
      </c>
      <c r="B1" s="216" t="s">
        <v>15</v>
      </c>
      <c r="C1" s="217" t="s">
        <v>174</v>
      </c>
      <c r="D1" s="218" t="s">
        <v>175</v>
      </c>
    </row>
    <row r="2" spans="1:4" ht="28.5" customHeight="1">
      <c r="A2" s="219">
        <v>3.13</v>
      </c>
      <c r="B2" s="220">
        <v>44294</v>
      </c>
      <c r="C2" s="224" t="s">
        <v>177</v>
      </c>
      <c r="D2" s="131" t="s">
        <v>176</v>
      </c>
    </row>
    <row r="3" spans="1:4" ht="28.5" customHeight="1">
      <c r="A3" s="219">
        <v>3.14</v>
      </c>
      <c r="B3" s="220">
        <v>44540</v>
      </c>
      <c r="C3" s="224" t="s">
        <v>178</v>
      </c>
      <c r="D3" s="131" t="s">
        <v>176</v>
      </c>
    </row>
    <row r="4" spans="1:4" ht="28.5" customHeight="1">
      <c r="A4" s="219">
        <v>3.20</v>
      </c>
      <c r="B4" s="220">
        <v>44651</v>
      </c>
      <c r="C4" s="224" t="s">
        <v>179</v>
      </c>
      <c r="D4" s="131" t="s">
        <v>176</v>
      </c>
    </row>
    <row r="5" spans="1:4" ht="28.5" customHeight="1">
      <c r="A5" s="219">
        <v>3.30</v>
      </c>
      <c r="B5" s="220">
        <v>44324</v>
      </c>
      <c r="C5" s="224" t="s">
        <v>180</v>
      </c>
      <c r="D5" s="131" t="s">
        <v>176</v>
      </c>
    </row>
    <row r="6" spans="1:4" ht="28.5" customHeight="1">
      <c r="A6" s="219">
        <v>3.31</v>
      </c>
      <c r="B6" s="220">
        <v>44747</v>
      </c>
      <c r="C6" s="224" t="s">
        <v>185</v>
      </c>
      <c r="D6" s="131" t="s">
        <v>176</v>
      </c>
    </row>
    <row r="7" spans="1:4" ht="28.5" customHeight="1">
      <c r="A7" s="219">
        <v>3.40</v>
      </c>
      <c r="B7" s="220">
        <v>44927</v>
      </c>
      <c r="C7" s="224" t="s">
        <v>188</v>
      </c>
      <c r="D7" s="131" t="s">
        <v>176</v>
      </c>
    </row>
    <row r="8" spans="1:4" ht="28.5" customHeight="1">
      <c r="A8" s="219">
        <v>3.50</v>
      </c>
      <c r="B8" s="220">
        <v>45265</v>
      </c>
      <c r="C8" s="224" t="s">
        <v>194</v>
      </c>
      <c r="D8" s="131" t="s">
        <v>176</v>
      </c>
    </row>
    <row r="9" spans="1:4" ht="28.5" customHeight="1">
      <c r="A9" s="219"/>
      <c r="B9" s="220"/>
      <c r="C9" s="224"/>
      <c r="D9" s="131"/>
    </row>
    <row r="10" spans="1:4" ht="28.5" customHeight="1">
      <c r="A10" s="219"/>
      <c r="B10" s="220"/>
      <c r="C10" s="224"/>
      <c r="D10" s="131"/>
    </row>
    <row r="11" spans="1:4" ht="28.5" customHeight="1">
      <c r="A11" s="219"/>
      <c r="B11" s="220"/>
      <c r="C11" s="224"/>
      <c r="D11" s="131"/>
    </row>
    <row r="12" spans="1:4" ht="28.5" customHeight="1">
      <c r="A12" s="219"/>
      <c r="B12" s="220"/>
      <c r="C12" s="224"/>
      <c r="D12" s="131"/>
    </row>
    <row r="13" spans="1:4" ht="28.5" customHeight="1">
      <c r="A13" s="219"/>
      <c r="B13" s="220"/>
      <c r="C13" s="224"/>
      <c r="D13" s="131"/>
    </row>
    <row r="14" spans="1:4" ht="28.5" customHeight="1">
      <c r="A14" s="219"/>
      <c r="B14" s="220"/>
      <c r="C14" s="224"/>
      <c r="D14" s="131"/>
    </row>
    <row r="15" spans="1:4" ht="28.5" customHeight="1">
      <c r="A15" s="219"/>
      <c r="B15" s="220"/>
      <c r="C15" s="224"/>
      <c r="D15" s="131"/>
    </row>
    <row r="16" spans="1:4" ht="28.5" customHeight="1">
      <c r="A16" s="219"/>
      <c r="B16" s="220"/>
      <c r="C16" s="224"/>
      <c r="D16" s="131"/>
    </row>
    <row r="17" spans="1:4" ht="28.5" customHeight="1">
      <c r="A17" s="219"/>
      <c r="B17" s="220"/>
      <c r="C17" s="224"/>
      <c r="D17" s="131"/>
    </row>
    <row r="18" spans="1:4" ht="28.5" customHeight="1">
      <c r="A18" s="219"/>
      <c r="B18" s="220"/>
      <c r="C18" s="224"/>
      <c r="D18" s="131"/>
    </row>
    <row r="19" spans="1:4" ht="28.5" customHeight="1">
      <c r="A19" s="219"/>
      <c r="B19" s="220"/>
      <c r="C19" s="224"/>
      <c r="D19" s="131"/>
    </row>
    <row r="20" spans="1:4" ht="28.5" customHeight="1">
      <c r="A20" s="219"/>
      <c r="B20" s="220"/>
      <c r="C20" s="224"/>
      <c r="D20" s="131"/>
    </row>
    <row r="21" spans="1:4" ht="28.5" customHeight="1">
      <c r="A21" s="219"/>
      <c r="B21" s="220"/>
      <c r="C21" s="224"/>
      <c r="D21" s="131"/>
    </row>
    <row r="22" spans="1:4" ht="28.5" customHeight="1">
      <c r="A22" s="219"/>
      <c r="B22" s="220"/>
      <c r="C22" s="224"/>
      <c r="D22" s="131"/>
    </row>
    <row r="23" spans="1:4" ht="28.5" customHeight="1" thickBot="1">
      <c r="A23" s="221"/>
      <c r="B23" s="222"/>
      <c r="C23" s="225"/>
      <c r="D23" s="2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ראשי</vt:lpstr>
      <vt:lpstr>נתונים</vt:lpstr>
      <vt:lpstr>תצורות</vt:lpstr>
      <vt:lpstr>ברזל</vt:lpstr>
      <vt:lpstr>משקל מערכות</vt:lpstr>
      <vt:lpstr>מה"ק</vt:lpstr>
      <vt:lpstr>גרסאות</vt:lpstr>
    </vt:vector>
  </TitlesOfParts>
  <Template/>
  <Manager/>
  <Company>police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אסף בן ציון - טייס</dc:creator>
  <cp:keywords/>
  <dc:description/>
  <cp:lastModifiedBy>ק' הטסה טכני המערך אווירי</cp:lastModifiedBy>
  <dcterms:created xsi:type="dcterms:W3CDTF">2018-06-12T12:47:40Z</dcterms:created>
  <dcterms:modified xsi:type="dcterms:W3CDTF">2025-10-19T04:55:00Z</dcterms:modified>
  <cp:category/>
</cp:coreProperties>
</file>